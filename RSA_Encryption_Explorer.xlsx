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ve\Downloads\"/>
    </mc:Choice>
  </mc:AlternateContent>
  <xr:revisionPtr revIDLastSave="0" documentId="13_ncr:1_{2BEC2818-73CC-45F5-8AB0-84E7798A0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SA" sheetId="1" r:id="rId1"/>
    <sheet name="Key steps" sheetId="2" r:id="rId2"/>
    <sheet name="Power steps" sheetId="3" r:id="rId3"/>
    <sheet name="Power Steps explain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E57" i="1" s="1"/>
  <c r="C56" i="1"/>
  <c r="E56" i="1" s="1"/>
  <c r="C55" i="1"/>
  <c r="E55" i="1" s="1"/>
  <c r="C54" i="1"/>
  <c r="E54" i="1" s="1"/>
  <c r="C53" i="1"/>
  <c r="C52" i="1"/>
  <c r="C51" i="1"/>
  <c r="D51" i="1" s="1"/>
  <c r="E51" i="1" s="1"/>
  <c r="C50" i="1"/>
  <c r="C49" i="1"/>
  <c r="C48" i="1"/>
  <c r="C47" i="1"/>
  <c r="D47" i="1" s="1"/>
  <c r="E47" i="1" s="1"/>
  <c r="C46" i="1"/>
  <c r="C45" i="1"/>
  <c r="C44" i="1"/>
  <c r="D44" i="1" s="1"/>
  <c r="C43" i="1"/>
  <c r="D43" i="1" s="1"/>
  <c r="E43" i="1" s="1"/>
  <c r="C42" i="1"/>
  <c r="C10" i="1"/>
  <c r="E53" i="1" l="1"/>
  <c r="D56" i="1"/>
  <c r="D52" i="1"/>
  <c r="E52" i="1" s="1"/>
  <c r="D48" i="1"/>
  <c r="E48" i="1" s="1"/>
  <c r="E44" i="1"/>
  <c r="D45" i="1"/>
  <c r="E45" i="1" s="1"/>
  <c r="D49" i="1"/>
  <c r="E49" i="1" s="1"/>
  <c r="D53" i="1"/>
  <c r="D57" i="1"/>
  <c r="D42" i="1"/>
  <c r="E42" i="1" s="1"/>
  <c r="D46" i="1"/>
  <c r="E46" i="1" s="1"/>
  <c r="D50" i="1"/>
  <c r="E50" i="1" s="1"/>
  <c r="D54" i="1"/>
  <c r="C16" i="1"/>
  <c r="D55" i="1"/>
  <c r="C17" i="1"/>
  <c r="G23" i="2" s="1"/>
  <c r="J40" i="1" l="1"/>
  <c r="F40" i="1"/>
  <c r="B101" i="2"/>
  <c r="G77" i="2"/>
  <c r="G39" i="2"/>
  <c r="G83" i="2"/>
  <c r="G82" i="2"/>
  <c r="G48" i="2"/>
  <c r="B45" i="2"/>
  <c r="C45" i="2" s="1"/>
  <c r="D45" i="2" s="1"/>
  <c r="B13" i="2"/>
  <c r="C13" i="2" s="1"/>
  <c r="D13" i="2" s="1"/>
  <c r="G81" i="2"/>
  <c r="B39" i="2"/>
  <c r="C39" i="2" s="1"/>
  <c r="D39" i="2" s="1"/>
  <c r="B60" i="2"/>
  <c r="G52" i="2"/>
  <c r="G20" i="2"/>
  <c r="G32" i="2"/>
  <c r="G41" i="2"/>
  <c r="G34" i="2"/>
  <c r="G71" i="2"/>
  <c r="B65" i="2"/>
  <c r="C65" i="2" s="1"/>
  <c r="D65" i="2" s="1"/>
  <c r="B17" i="2"/>
  <c r="G44" i="2"/>
  <c r="G40" i="2"/>
  <c r="B95" i="2"/>
  <c r="C95" i="2" s="1"/>
  <c r="D95" i="2" s="1"/>
  <c r="B38" i="2"/>
  <c r="C38" i="2" s="1"/>
  <c r="D38" i="2" s="1"/>
  <c r="B92" i="2"/>
  <c r="C92" i="2" s="1"/>
  <c r="D92" i="2" s="1"/>
  <c r="G45" i="2"/>
  <c r="G61" i="2"/>
  <c r="G24" i="2"/>
  <c r="G17" i="2"/>
  <c r="B23" i="2"/>
  <c r="C23" i="2" s="1"/>
  <c r="D23" i="2" s="1"/>
  <c r="G78" i="2"/>
  <c r="G51" i="2"/>
  <c r="G37" i="2"/>
  <c r="B43" i="2"/>
  <c r="C43" i="2" s="1"/>
  <c r="D43" i="2" s="1"/>
  <c r="B47" i="2"/>
  <c r="C47" i="2" s="1"/>
  <c r="D47" i="2" s="1"/>
  <c r="G42" i="2"/>
  <c r="G28" i="2"/>
  <c r="G49" i="2"/>
  <c r="B29" i="2"/>
  <c r="C29" i="2" s="1"/>
  <c r="D29" i="2" s="1"/>
  <c r="B31" i="2"/>
  <c r="C31" i="2" s="1"/>
  <c r="D31" i="2" s="1"/>
  <c r="G76" i="2"/>
  <c r="G58" i="2"/>
  <c r="G54" i="2"/>
  <c r="B21" i="2"/>
  <c r="G18" i="2"/>
  <c r="B99" i="2"/>
  <c r="C99" i="2" s="1"/>
  <c r="D99" i="2" s="1"/>
  <c r="B64" i="2"/>
  <c r="C64" i="2" s="1"/>
  <c r="D64" i="2" s="1"/>
  <c r="G29" i="2"/>
  <c r="B35" i="2"/>
  <c r="C35" i="2" s="1"/>
  <c r="D35" i="2" s="1"/>
  <c r="G66" i="2"/>
  <c r="B53" i="2"/>
  <c r="C53" i="2" s="1"/>
  <c r="D53" i="2" s="1"/>
  <c r="G16" i="2"/>
  <c r="B44" i="2"/>
  <c r="C44" i="2" s="1"/>
  <c r="D44" i="2" s="1"/>
  <c r="B70" i="2"/>
  <c r="C70" i="2" s="1"/>
  <c r="D70" i="2" s="1"/>
  <c r="B66" i="2"/>
  <c r="C66" i="2" s="1"/>
  <c r="D66" i="2" s="1"/>
  <c r="B72" i="2"/>
  <c r="C72" i="2" s="1"/>
  <c r="D72" i="2" s="1"/>
  <c r="B26" i="2"/>
  <c r="C26" i="2" s="1"/>
  <c r="D26" i="2" s="1"/>
  <c r="G14" i="2"/>
  <c r="B74" i="2"/>
  <c r="B73" i="2"/>
  <c r="G75" i="2"/>
  <c r="B9" i="2"/>
  <c r="C9" i="2" s="1"/>
  <c r="D9" i="2" s="1"/>
  <c r="B18" i="2"/>
  <c r="C18" i="2" s="1"/>
  <c r="D18" i="2" s="1"/>
  <c r="G22" i="2"/>
  <c r="G35" i="2"/>
  <c r="B102" i="2"/>
  <c r="C102" i="2" s="1"/>
  <c r="D102" i="2" s="1"/>
  <c r="C101" i="2"/>
  <c r="D101" i="2" s="1"/>
  <c r="G85" i="2"/>
  <c r="G84" i="2"/>
  <c r="B96" i="2"/>
  <c r="C96" i="2" s="1"/>
  <c r="D96" i="2" s="1"/>
  <c r="G98" i="2"/>
  <c r="B11" i="2"/>
  <c r="C11" i="2" s="1"/>
  <c r="D11" i="2" s="1"/>
  <c r="G57" i="2"/>
  <c r="G10" i="2"/>
  <c r="B24" i="2"/>
  <c r="C24" i="2" s="1"/>
  <c r="D24" i="2" s="1"/>
  <c r="B69" i="2"/>
  <c r="C69" i="2" s="1"/>
  <c r="D69" i="2" s="1"/>
  <c r="G103" i="2"/>
  <c r="B98" i="2"/>
  <c r="C98" i="2" s="1"/>
  <c r="D98" i="2" s="1"/>
  <c r="B97" i="2"/>
  <c r="C97" i="2" s="1"/>
  <c r="D97" i="2" s="1"/>
  <c r="B104" i="2"/>
  <c r="C104" i="2" s="1"/>
  <c r="D104" i="2" s="1"/>
  <c r="B71" i="2"/>
  <c r="C71" i="2" s="1"/>
  <c r="D71" i="2" s="1"/>
  <c r="B37" i="2"/>
  <c r="C37" i="2" s="1"/>
  <c r="D37" i="2" s="1"/>
  <c r="B103" i="2"/>
  <c r="C103" i="2" s="1"/>
  <c r="D103" i="2" s="1"/>
  <c r="B51" i="2"/>
  <c r="C51" i="2" s="1"/>
  <c r="D51" i="2" s="1"/>
  <c r="B50" i="2"/>
  <c r="C50" i="2" s="1"/>
  <c r="D50" i="2" s="1"/>
  <c r="G80" i="2"/>
  <c r="B67" i="2"/>
  <c r="C67" i="2" s="1"/>
  <c r="D67" i="2" s="1"/>
  <c r="B106" i="2"/>
  <c r="C106" i="2" s="1"/>
  <c r="D106" i="2" s="1"/>
  <c r="B105" i="2"/>
  <c r="C105" i="2" s="1"/>
  <c r="D105" i="2" s="1"/>
  <c r="B41" i="2"/>
  <c r="C41" i="2" s="1"/>
  <c r="D41" i="2" s="1"/>
  <c r="B52" i="2"/>
  <c r="C52" i="2" s="1"/>
  <c r="D52" i="2" s="1"/>
  <c r="B20" i="2"/>
  <c r="C20" i="2" s="1"/>
  <c r="D20" i="2" s="1"/>
  <c r="C28" i="1"/>
  <c r="C74" i="2"/>
  <c r="D74" i="2" s="1"/>
  <c r="C73" i="2"/>
  <c r="D73" i="2" s="1"/>
  <c r="C60" i="2"/>
  <c r="D60" i="2" s="1"/>
  <c r="G25" i="2"/>
  <c r="B14" i="2"/>
  <c r="C14" i="2" s="1"/>
  <c r="D14" i="2" s="1"/>
  <c r="G31" i="2"/>
  <c r="G43" i="2"/>
  <c r="B32" i="2"/>
  <c r="C32" i="2" s="1"/>
  <c r="D32" i="2" s="1"/>
  <c r="G11" i="2"/>
  <c r="B62" i="2"/>
  <c r="C62" i="2" s="1"/>
  <c r="D62" i="2" s="1"/>
  <c r="G73" i="2"/>
  <c r="B94" i="2"/>
  <c r="C94" i="2" s="1"/>
  <c r="D94" i="2" s="1"/>
  <c r="G105" i="2"/>
  <c r="G72" i="2"/>
  <c r="B93" i="2"/>
  <c r="C93" i="2" s="1"/>
  <c r="D93" i="2" s="1"/>
  <c r="G104" i="2"/>
  <c r="G63" i="2"/>
  <c r="B84" i="2"/>
  <c r="C84" i="2" s="1"/>
  <c r="D84" i="2" s="1"/>
  <c r="G95" i="2"/>
  <c r="G70" i="2"/>
  <c r="B91" i="2"/>
  <c r="C91" i="2" s="1"/>
  <c r="D91" i="2" s="1"/>
  <c r="G102" i="2"/>
  <c r="G90" i="2"/>
  <c r="B36" i="2"/>
  <c r="C36" i="2" s="1"/>
  <c r="D36" i="2" s="1"/>
  <c r="G47" i="2"/>
  <c r="G56" i="2"/>
  <c r="B59" i="2"/>
  <c r="C59" i="2" s="1"/>
  <c r="D59" i="2" s="1"/>
  <c r="G107" i="2"/>
  <c r="G69" i="2"/>
  <c r="B90" i="2"/>
  <c r="C90" i="2" s="1"/>
  <c r="D90" i="2" s="1"/>
  <c r="G101" i="2"/>
  <c r="B57" i="2"/>
  <c r="C57" i="2" s="1"/>
  <c r="D57" i="2" s="1"/>
  <c r="G68" i="2"/>
  <c r="B89" i="2"/>
  <c r="C89" i="2" s="1"/>
  <c r="D89" i="2" s="1"/>
  <c r="G100" i="2"/>
  <c r="B56" i="2"/>
  <c r="C56" i="2" s="1"/>
  <c r="D56" i="2" s="1"/>
  <c r="G67" i="2"/>
  <c r="B88" i="2"/>
  <c r="C88" i="2" s="1"/>
  <c r="D88" i="2" s="1"/>
  <c r="G99" i="2"/>
  <c r="G36" i="2"/>
  <c r="B25" i="2"/>
  <c r="C25" i="2" s="1"/>
  <c r="D25" i="2" s="1"/>
  <c r="B28" i="2"/>
  <c r="C28" i="2" s="1"/>
  <c r="D28" i="2" s="1"/>
  <c r="B46" i="2"/>
  <c r="C46" i="2" s="1"/>
  <c r="D46" i="2" s="1"/>
  <c r="B34" i="2"/>
  <c r="C34" i="2" s="1"/>
  <c r="D34" i="2" s="1"/>
  <c r="G13" i="2"/>
  <c r="G106" i="2"/>
  <c r="B55" i="2"/>
  <c r="C55" i="2" s="1"/>
  <c r="D55" i="2" s="1"/>
  <c r="G30" i="2"/>
  <c r="B19" i="2"/>
  <c r="C19" i="2" s="1"/>
  <c r="D19" i="2" s="1"/>
  <c r="G33" i="2"/>
  <c r="B22" i="2"/>
  <c r="C22" i="2" s="1"/>
  <c r="D22" i="2" s="1"/>
  <c r="G74" i="2"/>
  <c r="B15" i="2"/>
  <c r="C15" i="2" s="1"/>
  <c r="D15" i="2" s="1"/>
  <c r="G55" i="2"/>
  <c r="B40" i="2"/>
  <c r="C40" i="2" s="1"/>
  <c r="D40" i="2" s="1"/>
  <c r="G19" i="2"/>
  <c r="G65" i="2"/>
  <c r="B86" i="2"/>
  <c r="C86" i="2" s="1"/>
  <c r="D86" i="2" s="1"/>
  <c r="G97" i="2"/>
  <c r="G64" i="2"/>
  <c r="B85" i="2"/>
  <c r="C85" i="2" s="1"/>
  <c r="D85" i="2" s="1"/>
  <c r="G96" i="2"/>
  <c r="B76" i="2"/>
  <c r="C76" i="2" s="1"/>
  <c r="D76" i="2" s="1"/>
  <c r="G87" i="2"/>
  <c r="G62" i="2"/>
  <c r="B83" i="2"/>
  <c r="C83" i="2" s="1"/>
  <c r="D83" i="2" s="1"/>
  <c r="G94" i="2"/>
  <c r="B63" i="2"/>
  <c r="C63" i="2" s="1"/>
  <c r="D63" i="2" s="1"/>
  <c r="B87" i="2"/>
  <c r="C87" i="2" s="1"/>
  <c r="D87" i="2" s="1"/>
  <c r="C21" i="2"/>
  <c r="D21" i="2" s="1"/>
  <c r="B61" i="2"/>
  <c r="C61" i="2" s="1"/>
  <c r="D61" i="2" s="1"/>
  <c r="G26" i="2"/>
  <c r="B12" i="2"/>
  <c r="C12" i="2" s="1"/>
  <c r="D12" i="2" s="1"/>
  <c r="B54" i="2"/>
  <c r="C54" i="2" s="1"/>
  <c r="D54" i="2" s="1"/>
  <c r="C17" i="2"/>
  <c r="D17" i="2" s="1"/>
  <c r="B82" i="2"/>
  <c r="C82" i="2" s="1"/>
  <c r="D82" i="2" s="1"/>
  <c r="G93" i="2"/>
  <c r="B49" i="2"/>
  <c r="C49" i="2" s="1"/>
  <c r="D49" i="2" s="1"/>
  <c r="G60" i="2"/>
  <c r="B81" i="2"/>
  <c r="C81" i="2" s="1"/>
  <c r="D81" i="2" s="1"/>
  <c r="G92" i="2"/>
  <c r="B48" i="2"/>
  <c r="C48" i="2" s="1"/>
  <c r="D48" i="2" s="1"/>
  <c r="G59" i="2"/>
  <c r="B80" i="2"/>
  <c r="C80" i="2" s="1"/>
  <c r="D80" i="2" s="1"/>
  <c r="G91" i="2"/>
  <c r="B33" i="2"/>
  <c r="C33" i="2" s="1"/>
  <c r="D33" i="2" s="1"/>
  <c r="G12" i="2"/>
  <c r="G15" i="2"/>
  <c r="B42" i="2"/>
  <c r="C42" i="2" s="1"/>
  <c r="D42" i="2" s="1"/>
  <c r="G21" i="2"/>
  <c r="B10" i="2"/>
  <c r="C10" i="2" s="1"/>
  <c r="D10" i="2" s="1"/>
  <c r="B79" i="2"/>
  <c r="C79" i="2" s="1"/>
  <c r="D79" i="2" s="1"/>
  <c r="G50" i="2"/>
  <c r="G38" i="2"/>
  <c r="B27" i="2"/>
  <c r="C27" i="2" s="1"/>
  <c r="D27" i="2" s="1"/>
  <c r="C11" i="1"/>
  <c r="C12" i="1" s="1"/>
  <c r="B30" i="2"/>
  <c r="C30" i="2" s="1"/>
  <c r="D30" i="2" s="1"/>
  <c r="G9" i="2"/>
  <c r="G46" i="2"/>
  <c r="G27" i="2"/>
  <c r="B16" i="2"/>
  <c r="C16" i="2" s="1"/>
  <c r="D16" i="2" s="1"/>
  <c r="B78" i="2"/>
  <c r="C78" i="2" s="1"/>
  <c r="D78" i="2" s="1"/>
  <c r="G89" i="2"/>
  <c r="B77" i="2"/>
  <c r="C77" i="2" s="1"/>
  <c r="D77" i="2" s="1"/>
  <c r="G88" i="2"/>
  <c r="B68" i="2"/>
  <c r="C68" i="2" s="1"/>
  <c r="D68" i="2" s="1"/>
  <c r="G79" i="2"/>
  <c r="B100" i="2"/>
  <c r="C100" i="2" s="1"/>
  <c r="D100" i="2" s="1"/>
  <c r="B75" i="2"/>
  <c r="C75" i="2" s="1"/>
  <c r="D75" i="2" s="1"/>
  <c r="G86" i="2"/>
  <c r="G53" i="2"/>
  <c r="B58" i="2"/>
  <c r="C58" i="2" s="1"/>
  <c r="D58" i="2" s="1"/>
  <c r="C18" i="1" l="1"/>
  <c r="I79" i="2" s="1"/>
  <c r="O293" i="3"/>
  <c r="E293" i="3"/>
  <c r="K292" i="3"/>
  <c r="O291" i="3"/>
  <c r="E291" i="3"/>
  <c r="K290" i="3"/>
  <c r="O289" i="3"/>
  <c r="E289" i="3"/>
  <c r="K288" i="3"/>
  <c r="O287" i="3"/>
  <c r="E287" i="3"/>
  <c r="K286" i="3"/>
  <c r="O285" i="3"/>
  <c r="E285" i="3"/>
  <c r="K284" i="3"/>
  <c r="O283" i="3"/>
  <c r="E283" i="3"/>
  <c r="K282" i="3"/>
  <c r="O281" i="3"/>
  <c r="E281" i="3"/>
  <c r="K280" i="3"/>
  <c r="O275" i="3"/>
  <c r="E275" i="3"/>
  <c r="K274" i="3"/>
  <c r="O273" i="3"/>
  <c r="E273" i="3"/>
  <c r="K272" i="3"/>
  <c r="O271" i="3"/>
  <c r="E271" i="3"/>
  <c r="K270" i="3"/>
  <c r="O269" i="3"/>
  <c r="E269" i="3"/>
  <c r="K268" i="3"/>
  <c r="O267" i="3"/>
  <c r="E267" i="3"/>
  <c r="K266" i="3"/>
  <c r="O265" i="3"/>
  <c r="E265" i="3"/>
  <c r="K264" i="3"/>
  <c r="O263" i="3"/>
  <c r="E263" i="3"/>
  <c r="K262" i="3"/>
  <c r="O257" i="3"/>
  <c r="E257" i="3"/>
  <c r="K256" i="3"/>
  <c r="O255" i="3"/>
  <c r="E255" i="3"/>
  <c r="K254" i="3"/>
  <c r="O253" i="3"/>
  <c r="E253" i="3"/>
  <c r="K252" i="3"/>
  <c r="O251" i="3"/>
  <c r="E251" i="3"/>
  <c r="K250" i="3"/>
  <c r="O249" i="3"/>
  <c r="E249" i="3"/>
  <c r="K248" i="3"/>
  <c r="O247" i="3"/>
  <c r="E247" i="3"/>
  <c r="K246" i="3"/>
  <c r="O245" i="3"/>
  <c r="E245" i="3"/>
  <c r="K244" i="3"/>
  <c r="O239" i="3"/>
  <c r="E239" i="3"/>
  <c r="K238" i="3"/>
  <c r="O237" i="3"/>
  <c r="E237" i="3"/>
  <c r="K236" i="3"/>
  <c r="O235" i="3"/>
  <c r="E235" i="3"/>
  <c r="K234" i="3"/>
  <c r="O233" i="3"/>
  <c r="E233" i="3"/>
  <c r="K232" i="3"/>
  <c r="O231" i="3"/>
  <c r="E231" i="3"/>
  <c r="K230" i="3"/>
  <c r="O229" i="3"/>
  <c r="E229" i="3"/>
  <c r="K228" i="3"/>
  <c r="O227" i="3"/>
  <c r="E227" i="3"/>
  <c r="K226" i="3"/>
  <c r="N293" i="3"/>
  <c r="D293" i="3"/>
  <c r="J292" i="3"/>
  <c r="N291" i="3"/>
  <c r="D291" i="3"/>
  <c r="J290" i="3"/>
  <c r="N289" i="3"/>
  <c r="D289" i="3"/>
  <c r="J288" i="3"/>
  <c r="N287" i="3"/>
  <c r="D287" i="3"/>
  <c r="J286" i="3"/>
  <c r="N285" i="3"/>
  <c r="D285" i="3"/>
  <c r="J284" i="3"/>
  <c r="N283" i="3"/>
  <c r="D283" i="3"/>
  <c r="J282" i="3"/>
  <c r="N281" i="3"/>
  <c r="D281" i="3"/>
  <c r="J280" i="3"/>
  <c r="N275" i="3"/>
  <c r="D275" i="3"/>
  <c r="J274" i="3"/>
  <c r="N273" i="3"/>
  <c r="D273" i="3"/>
  <c r="J272" i="3"/>
  <c r="N271" i="3"/>
  <c r="D271" i="3"/>
  <c r="J270" i="3"/>
  <c r="N269" i="3"/>
  <c r="D269" i="3"/>
  <c r="J268" i="3"/>
  <c r="N267" i="3"/>
  <c r="D267" i="3"/>
  <c r="J266" i="3"/>
  <c r="N265" i="3"/>
  <c r="D265" i="3"/>
  <c r="J264" i="3"/>
  <c r="N263" i="3"/>
  <c r="D263" i="3"/>
  <c r="J262" i="3"/>
  <c r="N257" i="3"/>
  <c r="D257" i="3"/>
  <c r="J256" i="3"/>
  <c r="N255" i="3"/>
  <c r="D255" i="3"/>
  <c r="J254" i="3"/>
  <c r="N253" i="3"/>
  <c r="D253" i="3"/>
  <c r="J252" i="3"/>
  <c r="N251" i="3"/>
  <c r="D251" i="3"/>
  <c r="J250" i="3"/>
  <c r="N249" i="3"/>
  <c r="D249" i="3"/>
  <c r="J248" i="3"/>
  <c r="N247" i="3"/>
  <c r="D247" i="3"/>
  <c r="J246" i="3"/>
  <c r="N245" i="3"/>
  <c r="D245" i="3"/>
  <c r="J244" i="3"/>
  <c r="N239" i="3"/>
  <c r="D239" i="3"/>
  <c r="J238" i="3"/>
  <c r="N237" i="3"/>
  <c r="D237" i="3"/>
  <c r="J236" i="3"/>
  <c r="N235" i="3"/>
  <c r="D235" i="3"/>
  <c r="J234" i="3"/>
  <c r="N233" i="3"/>
  <c r="D233" i="3"/>
  <c r="J232" i="3"/>
  <c r="N231" i="3"/>
  <c r="D231" i="3"/>
  <c r="J230" i="3"/>
  <c r="N229" i="3"/>
  <c r="D229" i="3"/>
  <c r="J228" i="3"/>
  <c r="N227" i="3"/>
  <c r="D227" i="3"/>
  <c r="J226" i="3"/>
  <c r="M293" i="3"/>
  <c r="C293" i="3"/>
  <c r="G292" i="3"/>
  <c r="M291" i="3"/>
  <c r="C291" i="3"/>
  <c r="G290" i="3"/>
  <c r="M289" i="3"/>
  <c r="C289" i="3"/>
  <c r="G288" i="3"/>
  <c r="M287" i="3"/>
  <c r="C287" i="3"/>
  <c r="G286" i="3"/>
  <c r="M285" i="3"/>
  <c r="C285" i="3"/>
  <c r="G284" i="3"/>
  <c r="M283" i="3"/>
  <c r="C283" i="3"/>
  <c r="G282" i="3"/>
  <c r="M281" i="3"/>
  <c r="C281" i="3"/>
  <c r="G280" i="3"/>
  <c r="M275" i="3"/>
  <c r="C275" i="3"/>
  <c r="G274" i="3"/>
  <c r="M273" i="3"/>
  <c r="C273" i="3"/>
  <c r="G272" i="3"/>
  <c r="M271" i="3"/>
  <c r="C271" i="3"/>
  <c r="G270" i="3"/>
  <c r="M269" i="3"/>
  <c r="C269" i="3"/>
  <c r="G268" i="3"/>
  <c r="M267" i="3"/>
  <c r="C267" i="3"/>
  <c r="G266" i="3"/>
  <c r="M265" i="3"/>
  <c r="C265" i="3"/>
  <c r="G264" i="3"/>
  <c r="M263" i="3"/>
  <c r="C263" i="3"/>
  <c r="G262" i="3"/>
  <c r="M257" i="3"/>
  <c r="C257" i="3"/>
  <c r="G256" i="3"/>
  <c r="M255" i="3"/>
  <c r="C255" i="3"/>
  <c r="G254" i="3"/>
  <c r="M253" i="3"/>
  <c r="C253" i="3"/>
  <c r="G252" i="3"/>
  <c r="M251" i="3"/>
  <c r="C251" i="3"/>
  <c r="G250" i="3"/>
  <c r="M249" i="3"/>
  <c r="C249" i="3"/>
  <c r="G248" i="3"/>
  <c r="M247" i="3"/>
  <c r="C247" i="3"/>
  <c r="G246" i="3"/>
  <c r="M245" i="3"/>
  <c r="C245" i="3"/>
  <c r="G244" i="3"/>
  <c r="M239" i="3"/>
  <c r="C239" i="3"/>
  <c r="G238" i="3"/>
  <c r="M237" i="3"/>
  <c r="C237" i="3"/>
  <c r="G236" i="3"/>
  <c r="M235" i="3"/>
  <c r="C235" i="3"/>
  <c r="G234" i="3"/>
  <c r="M233" i="3"/>
  <c r="C233" i="3"/>
  <c r="G232" i="3"/>
  <c r="M231" i="3"/>
  <c r="C231" i="3"/>
  <c r="G230" i="3"/>
  <c r="M229" i="3"/>
  <c r="C229" i="3"/>
  <c r="G228" i="3"/>
  <c r="M227" i="3"/>
  <c r="C227" i="3"/>
  <c r="G226" i="3"/>
  <c r="L293" i="3"/>
  <c r="B293" i="3"/>
  <c r="F292" i="3"/>
  <c r="L291" i="3"/>
  <c r="B291" i="3"/>
  <c r="F290" i="3"/>
  <c r="L289" i="3"/>
  <c r="B289" i="3"/>
  <c r="F288" i="3"/>
  <c r="L287" i="3"/>
  <c r="B287" i="3"/>
  <c r="F286" i="3"/>
  <c r="L285" i="3"/>
  <c r="B285" i="3"/>
  <c r="F284" i="3"/>
  <c r="L283" i="3"/>
  <c r="B283" i="3"/>
  <c r="F282" i="3"/>
  <c r="L281" i="3"/>
  <c r="B281" i="3"/>
  <c r="F280" i="3"/>
  <c r="L275" i="3"/>
  <c r="B275" i="3"/>
  <c r="F274" i="3"/>
  <c r="L273" i="3"/>
  <c r="B273" i="3"/>
  <c r="F272" i="3"/>
  <c r="L271" i="3"/>
  <c r="B271" i="3"/>
  <c r="F270" i="3"/>
  <c r="L269" i="3"/>
  <c r="B269" i="3"/>
  <c r="F268" i="3"/>
  <c r="L267" i="3"/>
  <c r="B267" i="3"/>
  <c r="F266" i="3"/>
  <c r="L265" i="3"/>
  <c r="B265" i="3"/>
  <c r="F264" i="3"/>
  <c r="L263" i="3"/>
  <c r="B263" i="3"/>
  <c r="F262" i="3"/>
  <c r="L257" i="3"/>
  <c r="B257" i="3"/>
  <c r="F256" i="3"/>
  <c r="L255" i="3"/>
  <c r="B255" i="3"/>
  <c r="F254" i="3"/>
  <c r="L253" i="3"/>
  <c r="B253" i="3"/>
  <c r="F252" i="3"/>
  <c r="L251" i="3"/>
  <c r="B251" i="3"/>
  <c r="F250" i="3"/>
  <c r="L249" i="3"/>
  <c r="B249" i="3"/>
  <c r="F248" i="3"/>
  <c r="L247" i="3"/>
  <c r="B247" i="3"/>
  <c r="F246" i="3"/>
  <c r="L245" i="3"/>
  <c r="B245" i="3"/>
  <c r="F244" i="3"/>
  <c r="L239" i="3"/>
  <c r="B239" i="3"/>
  <c r="F238" i="3"/>
  <c r="L237" i="3"/>
  <c r="B237" i="3"/>
  <c r="F236" i="3"/>
  <c r="L235" i="3"/>
  <c r="B235" i="3"/>
  <c r="F234" i="3"/>
  <c r="L233" i="3"/>
  <c r="B233" i="3"/>
  <c r="F232" i="3"/>
  <c r="L231" i="3"/>
  <c r="B231" i="3"/>
  <c r="F230" i="3"/>
  <c r="L229" i="3"/>
  <c r="B229" i="3"/>
  <c r="F228" i="3"/>
  <c r="L227" i="3"/>
  <c r="B227" i="3"/>
  <c r="F226" i="3"/>
  <c r="K293" i="3"/>
  <c r="O292" i="3"/>
  <c r="E292" i="3"/>
  <c r="K291" i="3"/>
  <c r="O290" i="3"/>
  <c r="E290" i="3"/>
  <c r="K289" i="3"/>
  <c r="O288" i="3"/>
  <c r="E288" i="3"/>
  <c r="K287" i="3"/>
  <c r="O286" i="3"/>
  <c r="E286" i="3"/>
  <c r="K285" i="3"/>
  <c r="O284" i="3"/>
  <c r="E284" i="3"/>
  <c r="K283" i="3"/>
  <c r="O282" i="3"/>
  <c r="E282" i="3"/>
  <c r="K281" i="3"/>
  <c r="O280" i="3"/>
  <c r="E280" i="3"/>
  <c r="K275" i="3"/>
  <c r="O274" i="3"/>
  <c r="E274" i="3"/>
  <c r="K273" i="3"/>
  <c r="O272" i="3"/>
  <c r="E272" i="3"/>
  <c r="K271" i="3"/>
  <c r="O270" i="3"/>
  <c r="E270" i="3"/>
  <c r="K269" i="3"/>
  <c r="O268" i="3"/>
  <c r="E268" i="3"/>
  <c r="K267" i="3"/>
  <c r="O266" i="3"/>
  <c r="E266" i="3"/>
  <c r="K265" i="3"/>
  <c r="O264" i="3"/>
  <c r="E264" i="3"/>
  <c r="K263" i="3"/>
  <c r="O262" i="3"/>
  <c r="E262" i="3"/>
  <c r="K257" i="3"/>
  <c r="O256" i="3"/>
  <c r="E256" i="3"/>
  <c r="K255" i="3"/>
  <c r="O254" i="3"/>
  <c r="E254" i="3"/>
  <c r="K253" i="3"/>
  <c r="O252" i="3"/>
  <c r="E252" i="3"/>
  <c r="K251" i="3"/>
  <c r="O250" i="3"/>
  <c r="E250" i="3"/>
  <c r="K249" i="3"/>
  <c r="O248" i="3"/>
  <c r="E248" i="3"/>
  <c r="K247" i="3"/>
  <c r="O246" i="3"/>
  <c r="E246" i="3"/>
  <c r="K245" i="3"/>
  <c r="O244" i="3"/>
  <c r="E244" i="3"/>
  <c r="K239" i="3"/>
  <c r="O238" i="3"/>
  <c r="E238" i="3"/>
  <c r="K237" i="3"/>
  <c r="O236" i="3"/>
  <c r="E236" i="3"/>
  <c r="K235" i="3"/>
  <c r="O234" i="3"/>
  <c r="E234" i="3"/>
  <c r="K233" i="3"/>
  <c r="O232" i="3"/>
  <c r="E232" i="3"/>
  <c r="K231" i="3"/>
  <c r="O230" i="3"/>
  <c r="E230" i="3"/>
  <c r="K229" i="3"/>
  <c r="O228" i="3"/>
  <c r="E228" i="3"/>
  <c r="K227" i="3"/>
  <c r="O226" i="3"/>
  <c r="E226" i="3"/>
  <c r="J293" i="3"/>
  <c r="N292" i="3"/>
  <c r="D292" i="3"/>
  <c r="J291" i="3"/>
  <c r="N290" i="3"/>
  <c r="D290" i="3"/>
  <c r="J289" i="3"/>
  <c r="N288" i="3"/>
  <c r="D288" i="3"/>
  <c r="J287" i="3"/>
  <c r="N286" i="3"/>
  <c r="D286" i="3"/>
  <c r="J285" i="3"/>
  <c r="N284" i="3"/>
  <c r="D284" i="3"/>
  <c r="J283" i="3"/>
  <c r="N282" i="3"/>
  <c r="D282" i="3"/>
  <c r="J281" i="3"/>
  <c r="N280" i="3"/>
  <c r="D280" i="3"/>
  <c r="J275" i="3"/>
  <c r="N274" i="3"/>
  <c r="D274" i="3"/>
  <c r="J273" i="3"/>
  <c r="N272" i="3"/>
  <c r="D272" i="3"/>
  <c r="J271" i="3"/>
  <c r="N270" i="3"/>
  <c r="D270" i="3"/>
  <c r="J269" i="3"/>
  <c r="N268" i="3"/>
  <c r="D268" i="3"/>
  <c r="J267" i="3"/>
  <c r="N266" i="3"/>
  <c r="D266" i="3"/>
  <c r="J265" i="3"/>
  <c r="N264" i="3"/>
  <c r="D264" i="3"/>
  <c r="J263" i="3"/>
  <c r="N262" i="3"/>
  <c r="D262" i="3"/>
  <c r="J257" i="3"/>
  <c r="N256" i="3"/>
  <c r="D256" i="3"/>
  <c r="J255" i="3"/>
  <c r="N254" i="3"/>
  <c r="D254" i="3"/>
  <c r="J253" i="3"/>
  <c r="N252" i="3"/>
  <c r="D252" i="3"/>
  <c r="J251" i="3"/>
  <c r="N250" i="3"/>
  <c r="D250" i="3"/>
  <c r="J249" i="3"/>
  <c r="N248" i="3"/>
  <c r="D248" i="3"/>
  <c r="J247" i="3"/>
  <c r="N246" i="3"/>
  <c r="D246" i="3"/>
  <c r="J245" i="3"/>
  <c r="N244" i="3"/>
  <c r="D244" i="3"/>
  <c r="J239" i="3"/>
  <c r="N238" i="3"/>
  <c r="D238" i="3"/>
  <c r="J237" i="3"/>
  <c r="N236" i="3"/>
  <c r="D236" i="3"/>
  <c r="J235" i="3"/>
  <c r="N234" i="3"/>
  <c r="D234" i="3"/>
  <c r="J233" i="3"/>
  <c r="N232" i="3"/>
  <c r="D232" i="3"/>
  <c r="J231" i="3"/>
  <c r="N230" i="3"/>
  <c r="D230" i="3"/>
  <c r="J229" i="3"/>
  <c r="N228" i="3"/>
  <c r="D228" i="3"/>
  <c r="J227" i="3"/>
  <c r="N226" i="3"/>
  <c r="D226" i="3"/>
  <c r="G293" i="3"/>
  <c r="M290" i="3"/>
  <c r="C288" i="3"/>
  <c r="G285" i="3"/>
  <c r="M282" i="3"/>
  <c r="C280" i="3"/>
  <c r="G273" i="3"/>
  <c r="M270" i="3"/>
  <c r="C268" i="3"/>
  <c r="G265" i="3"/>
  <c r="M262" i="3"/>
  <c r="C256" i="3"/>
  <c r="G253" i="3"/>
  <c r="M250" i="3"/>
  <c r="C248" i="3"/>
  <c r="G245" i="3"/>
  <c r="M238" i="3"/>
  <c r="C236" i="3"/>
  <c r="G233" i="3"/>
  <c r="M230" i="3"/>
  <c r="C228" i="3"/>
  <c r="J209" i="3"/>
  <c r="L209" i="3" s="1"/>
  <c r="F293" i="3"/>
  <c r="L290" i="3"/>
  <c r="B288" i="3"/>
  <c r="F285" i="3"/>
  <c r="L282" i="3"/>
  <c r="B280" i="3"/>
  <c r="F273" i="3"/>
  <c r="L270" i="3"/>
  <c r="B268" i="3"/>
  <c r="F265" i="3"/>
  <c r="L262" i="3"/>
  <c r="B256" i="3"/>
  <c r="F253" i="3"/>
  <c r="L250" i="3"/>
  <c r="B248" i="3"/>
  <c r="F245" i="3"/>
  <c r="L238" i="3"/>
  <c r="B236" i="3"/>
  <c r="F233" i="3"/>
  <c r="L230" i="3"/>
  <c r="B228" i="3"/>
  <c r="M208" i="3"/>
  <c r="C208" i="3"/>
  <c r="M190" i="3"/>
  <c r="C190" i="3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M172" i="3"/>
  <c r="C172" i="3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M292" i="3"/>
  <c r="C290" i="3"/>
  <c r="G287" i="3"/>
  <c r="M284" i="3"/>
  <c r="C282" i="3"/>
  <c r="G275" i="3"/>
  <c r="M272" i="3"/>
  <c r="C270" i="3"/>
  <c r="G267" i="3"/>
  <c r="M264" i="3"/>
  <c r="C262" i="3"/>
  <c r="G255" i="3"/>
  <c r="M252" i="3"/>
  <c r="C250" i="3"/>
  <c r="G247" i="3"/>
  <c r="M244" i="3"/>
  <c r="C238" i="3"/>
  <c r="G235" i="3"/>
  <c r="M232" i="3"/>
  <c r="C230" i="3"/>
  <c r="G227" i="3"/>
  <c r="L208" i="3"/>
  <c r="B208" i="3"/>
  <c r="B209" i="3" s="1"/>
  <c r="L292" i="3"/>
  <c r="B290" i="3"/>
  <c r="F287" i="3"/>
  <c r="L284" i="3"/>
  <c r="B282" i="3"/>
  <c r="F275" i="3"/>
  <c r="L272" i="3"/>
  <c r="B270" i="3"/>
  <c r="F267" i="3"/>
  <c r="L264" i="3"/>
  <c r="B262" i="3"/>
  <c r="F255" i="3"/>
  <c r="L252" i="3"/>
  <c r="B250" i="3"/>
  <c r="F247" i="3"/>
  <c r="L244" i="3"/>
  <c r="B238" i="3"/>
  <c r="F235" i="3"/>
  <c r="L232" i="3"/>
  <c r="B230" i="3"/>
  <c r="F227" i="3"/>
  <c r="C292" i="3"/>
  <c r="G289" i="3"/>
  <c r="M286" i="3"/>
  <c r="C284" i="3"/>
  <c r="G281" i="3"/>
  <c r="M274" i="3"/>
  <c r="C272" i="3"/>
  <c r="G269" i="3"/>
  <c r="M266" i="3"/>
  <c r="C264" i="3"/>
  <c r="G257" i="3"/>
  <c r="M254" i="3"/>
  <c r="C252" i="3"/>
  <c r="G249" i="3"/>
  <c r="M246" i="3"/>
  <c r="C244" i="3"/>
  <c r="G237" i="3"/>
  <c r="M234" i="3"/>
  <c r="C232" i="3"/>
  <c r="G229" i="3"/>
  <c r="M226" i="3"/>
  <c r="J208" i="3"/>
  <c r="B292" i="3"/>
  <c r="F289" i="3"/>
  <c r="L286" i="3"/>
  <c r="B284" i="3"/>
  <c r="F281" i="3"/>
  <c r="L274" i="3"/>
  <c r="B272" i="3"/>
  <c r="F269" i="3"/>
  <c r="L266" i="3"/>
  <c r="B264" i="3"/>
  <c r="F257" i="3"/>
  <c r="L254" i="3"/>
  <c r="B252" i="3"/>
  <c r="F249" i="3"/>
  <c r="L246" i="3"/>
  <c r="B244" i="3"/>
  <c r="F237" i="3"/>
  <c r="L234" i="3"/>
  <c r="B232" i="3"/>
  <c r="F229" i="3"/>
  <c r="L226" i="3"/>
  <c r="C209" i="3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G291" i="3"/>
  <c r="M280" i="3"/>
  <c r="C266" i="3"/>
  <c r="G251" i="3"/>
  <c r="M236" i="3"/>
  <c r="C226" i="3"/>
  <c r="F291" i="3"/>
  <c r="L280" i="3"/>
  <c r="B266" i="3"/>
  <c r="F251" i="3"/>
  <c r="L236" i="3"/>
  <c r="B226" i="3"/>
  <c r="E208" i="3"/>
  <c r="E154" i="3"/>
  <c r="E136" i="3"/>
  <c r="E118" i="3"/>
  <c r="M288" i="3"/>
  <c r="C274" i="3"/>
  <c r="G263" i="3"/>
  <c r="M248" i="3"/>
  <c r="C234" i="3"/>
  <c r="L288" i="3"/>
  <c r="B274" i="3"/>
  <c r="F263" i="3"/>
  <c r="L248" i="3"/>
  <c r="B234" i="3"/>
  <c r="E190" i="3"/>
  <c r="M154" i="3"/>
  <c r="C154" i="3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M136" i="3"/>
  <c r="C136" i="3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M118" i="3"/>
  <c r="C118" i="3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286" i="3"/>
  <c r="G271" i="3"/>
  <c r="M256" i="3"/>
  <c r="C246" i="3"/>
  <c r="G231" i="3"/>
  <c r="B286" i="3"/>
  <c r="F271" i="3"/>
  <c r="L256" i="3"/>
  <c r="B246" i="3"/>
  <c r="F231" i="3"/>
  <c r="G283" i="3"/>
  <c r="M268" i="3"/>
  <c r="C254" i="3"/>
  <c r="G239" i="3"/>
  <c r="M228" i="3"/>
  <c r="E172" i="3"/>
  <c r="F283" i="3"/>
  <c r="E100" i="3"/>
  <c r="E82" i="3"/>
  <c r="E64" i="3"/>
  <c r="E46" i="3"/>
  <c r="E28" i="3"/>
  <c r="E10" i="3"/>
  <c r="L268" i="3"/>
  <c r="B254" i="3"/>
  <c r="M100" i="3"/>
  <c r="C100" i="3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M82" i="3"/>
  <c r="C82" i="3"/>
  <c r="C83" i="3" s="1"/>
  <c r="C84" i="3" s="1"/>
  <c r="M64" i="3"/>
  <c r="C64" i="3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M46" i="3"/>
  <c r="C46" i="3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M28" i="3"/>
  <c r="C28" i="3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F239" i="3"/>
  <c r="L228" i="3"/>
  <c r="B118" i="3"/>
  <c r="B119" i="3" s="1"/>
  <c r="D119" i="3" s="1"/>
  <c r="M10" i="3"/>
  <c r="B28" i="3"/>
  <c r="D28" i="3" s="1"/>
  <c r="F54" i="1"/>
  <c r="F57" i="1"/>
  <c r="C10" i="3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F56" i="1"/>
  <c r="F55" i="1"/>
  <c r="H97" i="2"/>
  <c r="I97" i="2"/>
  <c r="I74" i="2"/>
  <c r="D209" i="3" l="1"/>
  <c r="F209" i="3" s="1"/>
  <c r="B210" i="3"/>
  <c r="D208" i="3"/>
  <c r="F208" i="3" s="1"/>
  <c r="G208" i="3" s="1"/>
  <c r="E209" i="3" s="1"/>
  <c r="G209" i="3" s="1"/>
  <c r="E210" i="3" s="1"/>
  <c r="J210" i="3"/>
  <c r="F119" i="3"/>
  <c r="I90" i="2"/>
  <c r="F39" i="1"/>
  <c r="H105" i="2"/>
  <c r="I105" i="2"/>
  <c r="J105" i="2" s="1"/>
  <c r="I50" i="2"/>
  <c r="J50" i="2" s="1"/>
  <c r="H89" i="2"/>
  <c r="H107" i="2"/>
  <c r="H104" i="2"/>
  <c r="H36" i="2"/>
  <c r="I104" i="2"/>
  <c r="J104" i="2" s="1"/>
  <c r="I88" i="2"/>
  <c r="J88" i="2" s="1"/>
  <c r="H25" i="2"/>
  <c r="H96" i="2"/>
  <c r="H90" i="2"/>
  <c r="H79" i="2"/>
  <c r="H93" i="2"/>
  <c r="H70" i="2"/>
  <c r="B172" i="3"/>
  <c r="H95" i="2"/>
  <c r="I65" i="2"/>
  <c r="J65" i="2" s="1"/>
  <c r="B82" i="3"/>
  <c r="B190" i="3"/>
  <c r="H101" i="2"/>
  <c r="H38" i="2"/>
  <c r="I59" i="2"/>
  <c r="J59" i="2" s="1"/>
  <c r="H86" i="2"/>
  <c r="H87" i="2"/>
  <c r="H62" i="2"/>
  <c r="H63" i="2"/>
  <c r="H33" i="2"/>
  <c r="I60" i="2"/>
  <c r="J60" i="2" s="1"/>
  <c r="H91" i="2"/>
  <c r="I36" i="2"/>
  <c r="J36" i="2" s="1"/>
  <c r="H11" i="2"/>
  <c r="B64" i="3"/>
  <c r="B65" i="3" s="1"/>
  <c r="B66" i="3" s="1"/>
  <c r="H60" i="2"/>
  <c r="H64" i="2"/>
  <c r="I91" i="2"/>
  <c r="J91" i="2" s="1"/>
  <c r="I63" i="2"/>
  <c r="J63" i="2" s="1"/>
  <c r="H94" i="2"/>
  <c r="H100" i="2"/>
  <c r="H26" i="2"/>
  <c r="B10" i="3"/>
  <c r="B100" i="3"/>
  <c r="D118" i="3"/>
  <c r="F118" i="3" s="1"/>
  <c r="G118" i="3" s="1"/>
  <c r="E119" i="3" s="1"/>
  <c r="G119" i="3" s="1"/>
  <c r="E120" i="3" s="1"/>
  <c r="I101" i="2"/>
  <c r="J101" i="2" s="1"/>
  <c r="I38" i="2"/>
  <c r="J38" i="2" s="1"/>
  <c r="I21" i="2"/>
  <c r="J21" i="2" s="1"/>
  <c r="H53" i="2"/>
  <c r="I87" i="2"/>
  <c r="J87" i="2" s="1"/>
  <c r="H15" i="2"/>
  <c r="I56" i="2"/>
  <c r="J56" i="2" s="1"/>
  <c r="I33" i="2"/>
  <c r="J33" i="2" s="1"/>
  <c r="F28" i="3"/>
  <c r="G28" i="3" s="1"/>
  <c r="E29" i="3" s="1"/>
  <c r="I95" i="2"/>
  <c r="J95" i="2" s="1"/>
  <c r="H73" i="2"/>
  <c r="I94" i="2"/>
  <c r="J94" i="2" s="1"/>
  <c r="H19" i="2"/>
  <c r="I11" i="2"/>
  <c r="J11" i="2" s="1"/>
  <c r="I100" i="2"/>
  <c r="J100" i="2" s="1"/>
  <c r="I26" i="2"/>
  <c r="J26" i="2" s="1"/>
  <c r="B29" i="3"/>
  <c r="D29" i="3" s="1"/>
  <c r="F29" i="3" s="1"/>
  <c r="G29" i="3" s="1"/>
  <c r="E30" i="3" s="1"/>
  <c r="B136" i="3"/>
  <c r="D136" i="3" s="1"/>
  <c r="F136" i="3" s="1"/>
  <c r="G136" i="3" s="1"/>
  <c r="E137" i="3" s="1"/>
  <c r="I13" i="2"/>
  <c r="J13" i="2" s="1"/>
  <c r="H47" i="2"/>
  <c r="H21" i="2"/>
  <c r="I99" i="2"/>
  <c r="J99" i="2" s="1"/>
  <c r="H12" i="2"/>
  <c r="H46" i="2"/>
  <c r="H69" i="2"/>
  <c r="H102" i="2"/>
  <c r="H31" i="2"/>
  <c r="I106" i="2"/>
  <c r="J106" i="2" s="1"/>
  <c r="H74" i="2"/>
  <c r="B46" i="3"/>
  <c r="B154" i="3"/>
  <c r="B155" i="3" s="1"/>
  <c r="H13" i="2"/>
  <c r="I47" i="2"/>
  <c r="J47" i="2" s="1"/>
  <c r="H27" i="2"/>
  <c r="H50" i="2"/>
  <c r="H72" i="2"/>
  <c r="I46" i="2"/>
  <c r="J46" i="2" s="1"/>
  <c r="I67" i="2"/>
  <c r="J67" i="2" s="1"/>
  <c r="I30" i="2"/>
  <c r="J30" i="2" s="1"/>
  <c r="C85" i="3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G54" i="1"/>
  <c r="H54" i="1"/>
  <c r="J54" i="1"/>
  <c r="I54" i="1"/>
  <c r="J55" i="1"/>
  <c r="I55" i="1"/>
  <c r="H55" i="1"/>
  <c r="G55" i="1"/>
  <c r="B30" i="3"/>
  <c r="J56" i="1"/>
  <c r="I56" i="1"/>
  <c r="H56" i="1"/>
  <c r="G56" i="1"/>
  <c r="I57" i="1"/>
  <c r="H57" i="1"/>
  <c r="G57" i="1"/>
  <c r="J57" i="1"/>
  <c r="B120" i="3"/>
  <c r="H41" i="2"/>
  <c r="C23" i="1"/>
  <c r="J79" i="2"/>
  <c r="I42" i="2"/>
  <c r="J42" i="2" s="1"/>
  <c r="I39" i="2"/>
  <c r="J39" i="2" s="1"/>
  <c r="I61" i="2"/>
  <c r="J61" i="2" s="1"/>
  <c r="J74" i="2"/>
  <c r="I41" i="2"/>
  <c r="J41" i="2" s="1"/>
  <c r="I10" i="2"/>
  <c r="I24" i="2"/>
  <c r="J24" i="2" s="1"/>
  <c r="J97" i="2"/>
  <c r="J90" i="2"/>
  <c r="H18" i="2"/>
  <c r="H40" i="2"/>
  <c r="H80" i="2"/>
  <c r="I32" i="2"/>
  <c r="J32" i="2" s="1"/>
  <c r="I66" i="2"/>
  <c r="J66" i="2" s="1"/>
  <c r="I17" i="2"/>
  <c r="J17" i="2" s="1"/>
  <c r="I77" i="2"/>
  <c r="J77" i="2" s="1"/>
  <c r="I76" i="2"/>
  <c r="J76" i="2" s="1"/>
  <c r="H23" i="2"/>
  <c r="H85" i="2"/>
  <c r="H75" i="2"/>
  <c r="I28" i="2"/>
  <c r="J28" i="2" s="1"/>
  <c r="H48" i="2"/>
  <c r="H22" i="2"/>
  <c r="H28" i="2"/>
  <c r="I52" i="2"/>
  <c r="J52" i="2" s="1"/>
  <c r="I80" i="2"/>
  <c r="J80" i="2" s="1"/>
  <c r="I29" i="2"/>
  <c r="J29" i="2" s="1"/>
  <c r="I84" i="2"/>
  <c r="J84" i="2" s="1"/>
  <c r="H77" i="2"/>
  <c r="H24" i="2"/>
  <c r="I40" i="2"/>
  <c r="J40" i="2" s="1"/>
  <c r="H29" i="2"/>
  <c r="H34" i="2"/>
  <c r="I49" i="2"/>
  <c r="J49" i="2" s="1"/>
  <c r="I23" i="2"/>
  <c r="J23" i="2" s="1"/>
  <c r="I20" i="2"/>
  <c r="J20" i="2" s="1"/>
  <c r="H71" i="2"/>
  <c r="I18" i="2"/>
  <c r="J18" i="2" s="1"/>
  <c r="I78" i="2"/>
  <c r="J78" i="2" s="1"/>
  <c r="I34" i="2"/>
  <c r="J34" i="2" s="1"/>
  <c r="H83" i="2"/>
  <c r="I45" i="2"/>
  <c r="J45" i="2" s="1"/>
  <c r="I57" i="2"/>
  <c r="J57" i="2" s="1"/>
  <c r="I35" i="2"/>
  <c r="J35" i="2" s="1"/>
  <c r="H78" i="2"/>
  <c r="H76" i="2"/>
  <c r="H14" i="2"/>
  <c r="H103" i="2"/>
  <c r="H58" i="2"/>
  <c r="H32" i="2"/>
  <c r="H49" i="2"/>
  <c r="I54" i="2"/>
  <c r="J54" i="2" s="1"/>
  <c r="H42" i="2"/>
  <c r="I98" i="2"/>
  <c r="J98" i="2" s="1"/>
  <c r="I103" i="2"/>
  <c r="J103" i="2" s="1"/>
  <c r="H45" i="2"/>
  <c r="H51" i="2"/>
  <c r="H61" i="2"/>
  <c r="I75" i="2"/>
  <c r="J75" i="2" s="1"/>
  <c r="H35" i="2"/>
  <c r="H84" i="2"/>
  <c r="H17" i="2"/>
  <c r="H20" i="2"/>
  <c r="I58" i="2"/>
  <c r="J58" i="2" s="1"/>
  <c r="I81" i="2"/>
  <c r="J81" i="2" s="1"/>
  <c r="H54" i="2"/>
  <c r="H16" i="2"/>
  <c r="I44" i="2"/>
  <c r="J44" i="2" s="1"/>
  <c r="I37" i="2"/>
  <c r="J37" i="2" s="1"/>
  <c r="H82" i="2"/>
  <c r="I85" i="2"/>
  <c r="J85" i="2" s="1"/>
  <c r="I14" i="2"/>
  <c r="J14" i="2" s="1"/>
  <c r="H10" i="2"/>
  <c r="H52" i="2"/>
  <c r="I71" i="2"/>
  <c r="J71" i="2" s="1"/>
  <c r="I83" i="2"/>
  <c r="J83" i="2" s="1"/>
  <c r="I51" i="2"/>
  <c r="J51" i="2" s="1"/>
  <c r="H37" i="2"/>
  <c r="H57" i="2"/>
  <c r="H66" i="2"/>
  <c r="I22" i="2"/>
  <c r="J22" i="2" s="1"/>
  <c r="I48" i="2"/>
  <c r="J48" i="2" s="1"/>
  <c r="H39" i="2"/>
  <c r="H98" i="2"/>
  <c r="H81" i="2"/>
  <c r="I82" i="2"/>
  <c r="J82" i="2" s="1"/>
  <c r="H44" i="2"/>
  <c r="I16" i="2"/>
  <c r="J16" i="2" s="1"/>
  <c r="I27" i="2"/>
  <c r="J27" i="2" s="1"/>
  <c r="I86" i="2"/>
  <c r="J86" i="2" s="1"/>
  <c r="I89" i="2"/>
  <c r="J89" i="2" s="1"/>
  <c r="I12" i="2"/>
  <c r="J12" i="2" s="1"/>
  <c r="H65" i="2"/>
  <c r="H88" i="2"/>
  <c r="H56" i="2"/>
  <c r="I31" i="2"/>
  <c r="J31" i="2" s="1"/>
  <c r="I102" i="2"/>
  <c r="J102" i="2" s="1"/>
  <c r="H55" i="2"/>
  <c r="I9" i="2"/>
  <c r="J9" i="2" s="1"/>
  <c r="H68" i="2"/>
  <c r="I64" i="2"/>
  <c r="J64" i="2" s="1"/>
  <c r="I96" i="2"/>
  <c r="J96" i="2" s="1"/>
  <c r="I53" i="2"/>
  <c r="J53" i="2" s="1"/>
  <c r="I70" i="2"/>
  <c r="J70" i="2" s="1"/>
  <c r="I72" i="2"/>
  <c r="J72" i="2" s="1"/>
  <c r="I62" i="2"/>
  <c r="J62" i="2" s="1"/>
  <c r="I25" i="2"/>
  <c r="J25" i="2" s="1"/>
  <c r="I69" i="2"/>
  <c r="J69" i="2" s="1"/>
  <c r="I19" i="2"/>
  <c r="J19" i="2" s="1"/>
  <c r="H30" i="2"/>
  <c r="I55" i="2"/>
  <c r="J55" i="2" s="1"/>
  <c r="H9" i="2"/>
  <c r="I68" i="2"/>
  <c r="J68" i="2" s="1"/>
  <c r="H59" i="2"/>
  <c r="I93" i="2"/>
  <c r="J93" i="2" s="1"/>
  <c r="H99" i="2"/>
  <c r="H106" i="2"/>
  <c r="I107" i="2"/>
  <c r="J107" i="2" s="1"/>
  <c r="I15" i="2"/>
  <c r="J15" i="2" s="1"/>
  <c r="I73" i="2"/>
  <c r="J73" i="2" s="1"/>
  <c r="H67" i="2"/>
  <c r="H43" i="2"/>
  <c r="I92" i="2"/>
  <c r="J92" i="2" s="1"/>
  <c r="I43" i="2"/>
  <c r="J43" i="2" s="1"/>
  <c r="H92" i="2"/>
  <c r="D210" i="3" l="1"/>
  <c r="F210" i="3" s="1"/>
  <c r="B211" i="3"/>
  <c r="J211" i="3"/>
  <c r="L210" i="3"/>
  <c r="G210" i="3"/>
  <c r="E211" i="3" s="1"/>
  <c r="J10" i="2"/>
  <c r="C19" i="1" s="1"/>
  <c r="J39" i="1" s="1"/>
  <c r="B137" i="3"/>
  <c r="B138" i="3" s="1"/>
  <c r="D65" i="3"/>
  <c r="F65" i="3" s="1"/>
  <c r="D64" i="3"/>
  <c r="F64" i="3" s="1"/>
  <c r="G64" i="3" s="1"/>
  <c r="E65" i="3" s="1"/>
  <c r="D154" i="3"/>
  <c r="F154" i="3" s="1"/>
  <c r="G154" i="3" s="1"/>
  <c r="E155" i="3" s="1"/>
  <c r="D172" i="3"/>
  <c r="F172" i="3" s="1"/>
  <c r="G172" i="3" s="1"/>
  <c r="E173" i="3" s="1"/>
  <c r="B173" i="3"/>
  <c r="D100" i="3"/>
  <c r="F100" i="3" s="1"/>
  <c r="G100" i="3" s="1"/>
  <c r="E101" i="3" s="1"/>
  <c r="B101" i="3"/>
  <c r="D82" i="3"/>
  <c r="F82" i="3" s="1"/>
  <c r="G82" i="3" s="1"/>
  <c r="E83" i="3" s="1"/>
  <c r="B83" i="3"/>
  <c r="B11" i="3"/>
  <c r="D10" i="3"/>
  <c r="F10" i="3" s="1"/>
  <c r="G10" i="3" s="1"/>
  <c r="E11" i="3" s="1"/>
  <c r="B47" i="3"/>
  <c r="D46" i="3"/>
  <c r="F46" i="3" s="1"/>
  <c r="G46" i="3" s="1"/>
  <c r="E47" i="3" s="1"/>
  <c r="D190" i="3"/>
  <c r="F190" i="3" s="1"/>
  <c r="G190" i="3" s="1"/>
  <c r="E191" i="3" s="1"/>
  <c r="B191" i="3"/>
  <c r="D66" i="3"/>
  <c r="F66" i="3" s="1"/>
  <c r="B67" i="3"/>
  <c r="B156" i="3"/>
  <c r="D155" i="3"/>
  <c r="F155" i="3" s="1"/>
  <c r="B31" i="3"/>
  <c r="D30" i="3"/>
  <c r="F30" i="3" s="1"/>
  <c r="G30" i="3" s="1"/>
  <c r="E31" i="3" s="1"/>
  <c r="L54" i="1"/>
  <c r="K54" i="1"/>
  <c r="L55" i="1"/>
  <c r="K55" i="1"/>
  <c r="B121" i="3"/>
  <c r="D120" i="3"/>
  <c r="F120" i="3" s="1"/>
  <c r="G120" i="3" s="1"/>
  <c r="E121" i="3" s="1"/>
  <c r="L57" i="1"/>
  <c r="K57" i="1"/>
  <c r="K56" i="1"/>
  <c r="L56" i="1"/>
  <c r="J212" i="3" l="1"/>
  <c r="L211" i="3"/>
  <c r="N211" i="3" s="1"/>
  <c r="B212" i="3"/>
  <c r="D211" i="3"/>
  <c r="F211" i="3" s="1"/>
  <c r="G211" i="3" s="1"/>
  <c r="E212" i="3" s="1"/>
  <c r="D137" i="3"/>
  <c r="F137" i="3" s="1"/>
  <c r="G137" i="3" s="1"/>
  <c r="E138" i="3" s="1"/>
  <c r="G65" i="3"/>
  <c r="E66" i="3" s="1"/>
  <c r="G66" i="3" s="1"/>
  <c r="E67" i="3" s="1"/>
  <c r="G155" i="3"/>
  <c r="E156" i="3" s="1"/>
  <c r="B192" i="3"/>
  <c r="D191" i="3"/>
  <c r="F191" i="3" s="1"/>
  <c r="G191" i="3" s="1"/>
  <c r="E192" i="3" s="1"/>
  <c r="B102" i="3"/>
  <c r="D101" i="3"/>
  <c r="F101" i="3" s="1"/>
  <c r="B174" i="3"/>
  <c r="D173" i="3"/>
  <c r="F173" i="3" s="1"/>
  <c r="G173" i="3" s="1"/>
  <c r="E174" i="3" s="1"/>
  <c r="B12" i="3"/>
  <c r="D11" i="3"/>
  <c r="F11" i="3" s="1"/>
  <c r="G11" i="3" s="1"/>
  <c r="E12" i="3" s="1"/>
  <c r="B84" i="3"/>
  <c r="D83" i="3"/>
  <c r="F83" i="3" s="1"/>
  <c r="G83" i="3" s="1"/>
  <c r="E84" i="3" s="1"/>
  <c r="B48" i="3"/>
  <c r="D47" i="3"/>
  <c r="F47" i="3" s="1"/>
  <c r="G47" i="3" s="1"/>
  <c r="E48" i="3" s="1"/>
  <c r="G101" i="3"/>
  <c r="E102" i="3" s="1"/>
  <c r="D156" i="3"/>
  <c r="F156" i="3" s="1"/>
  <c r="B157" i="3"/>
  <c r="D31" i="3"/>
  <c r="F31" i="3" s="1"/>
  <c r="G31" i="3" s="1"/>
  <c r="E32" i="3" s="1"/>
  <c r="B32" i="3"/>
  <c r="C24" i="1"/>
  <c r="J172" i="3"/>
  <c r="J100" i="3"/>
  <c r="J46" i="3"/>
  <c r="J118" i="3"/>
  <c r="J10" i="3"/>
  <c r="J190" i="3"/>
  <c r="J64" i="3"/>
  <c r="J82" i="3"/>
  <c r="J154" i="3"/>
  <c r="J136" i="3"/>
  <c r="J28" i="3"/>
  <c r="C20" i="1"/>
  <c r="C21" i="1" s="1"/>
  <c r="D121" i="3"/>
  <c r="F121" i="3" s="1"/>
  <c r="G121" i="3" s="1"/>
  <c r="E122" i="3" s="1"/>
  <c r="B122" i="3"/>
  <c r="B139" i="3"/>
  <c r="D138" i="3"/>
  <c r="F138" i="3" s="1"/>
  <c r="B68" i="3"/>
  <c r="D67" i="3"/>
  <c r="F67" i="3" s="1"/>
  <c r="G212" i="3" l="1"/>
  <c r="E213" i="3" s="1"/>
  <c r="D212" i="3"/>
  <c r="F212" i="3" s="1"/>
  <c r="B213" i="3"/>
  <c r="G138" i="3"/>
  <c r="E139" i="3" s="1"/>
  <c r="L212" i="3"/>
  <c r="J213" i="3"/>
  <c r="G156" i="3"/>
  <c r="E157" i="3" s="1"/>
  <c r="B175" i="3"/>
  <c r="D174" i="3"/>
  <c r="F174" i="3" s="1"/>
  <c r="G174" i="3" s="1"/>
  <c r="E175" i="3" s="1"/>
  <c r="B49" i="3"/>
  <c r="D48" i="3"/>
  <c r="F48" i="3" s="1"/>
  <c r="G48" i="3" s="1"/>
  <c r="E49" i="3" s="1"/>
  <c r="D84" i="3"/>
  <c r="F84" i="3" s="1"/>
  <c r="G84" i="3" s="1"/>
  <c r="E85" i="3" s="1"/>
  <c r="B85" i="3"/>
  <c r="B193" i="3"/>
  <c r="D192" i="3"/>
  <c r="F192" i="3" s="1"/>
  <c r="G192" i="3" s="1"/>
  <c r="E193" i="3" s="1"/>
  <c r="D102" i="3"/>
  <c r="F102" i="3" s="1"/>
  <c r="G102" i="3" s="1"/>
  <c r="E103" i="3" s="1"/>
  <c r="B103" i="3"/>
  <c r="B13" i="3"/>
  <c r="D12" i="3"/>
  <c r="F12" i="3" s="1"/>
  <c r="G12" i="3" s="1"/>
  <c r="E13" i="3" s="1"/>
  <c r="L100" i="3"/>
  <c r="J101" i="3"/>
  <c r="J65" i="3"/>
  <c r="L64" i="3"/>
  <c r="J137" i="3"/>
  <c r="L136" i="3"/>
  <c r="L172" i="3"/>
  <c r="J173" i="3"/>
  <c r="G67" i="3"/>
  <c r="E68" i="3" s="1"/>
  <c r="L190" i="3"/>
  <c r="J191" i="3"/>
  <c r="J11" i="3"/>
  <c r="L10" i="3"/>
  <c r="B69" i="3"/>
  <c r="D68" i="3"/>
  <c r="F68" i="3" s="1"/>
  <c r="J155" i="3"/>
  <c r="L154" i="3"/>
  <c r="J83" i="3"/>
  <c r="L82" i="3"/>
  <c r="D139" i="3"/>
  <c r="F139" i="3" s="1"/>
  <c r="G139" i="3" s="1"/>
  <c r="E140" i="3" s="1"/>
  <c r="B140" i="3"/>
  <c r="J119" i="3"/>
  <c r="L118" i="3"/>
  <c r="B123" i="3"/>
  <c r="D122" i="3"/>
  <c r="F122" i="3" s="1"/>
  <c r="G122" i="3" s="1"/>
  <c r="E123" i="3" s="1"/>
  <c r="J29" i="3"/>
  <c r="L28" i="3"/>
  <c r="J47" i="3"/>
  <c r="L46" i="3"/>
  <c r="B33" i="3"/>
  <c r="D32" i="3"/>
  <c r="F32" i="3" s="1"/>
  <c r="G32" i="3" s="1"/>
  <c r="E33" i="3" s="1"/>
  <c r="B158" i="3"/>
  <c r="D157" i="3"/>
  <c r="F157" i="3" s="1"/>
  <c r="J214" i="3" l="1"/>
  <c r="L213" i="3"/>
  <c r="N213" i="3" s="1"/>
  <c r="D213" i="3"/>
  <c r="F213" i="3" s="1"/>
  <c r="G213" i="3" s="1"/>
  <c r="E214" i="3" s="1"/>
  <c r="B214" i="3"/>
  <c r="G157" i="3"/>
  <c r="E158" i="3" s="1"/>
  <c r="B176" i="3"/>
  <c r="D175" i="3"/>
  <c r="F175" i="3" s="1"/>
  <c r="G175" i="3" s="1"/>
  <c r="E176" i="3" s="1"/>
  <c r="D103" i="3"/>
  <c r="F103" i="3" s="1"/>
  <c r="G103" i="3" s="1"/>
  <c r="E104" i="3" s="1"/>
  <c r="B104" i="3"/>
  <c r="D193" i="3"/>
  <c r="F193" i="3" s="1"/>
  <c r="G193" i="3" s="1"/>
  <c r="E194" i="3" s="1"/>
  <c r="B194" i="3"/>
  <c r="B86" i="3"/>
  <c r="D85" i="3"/>
  <c r="F85" i="3" s="1"/>
  <c r="G85" i="3" s="1"/>
  <c r="E86" i="3" s="1"/>
  <c r="B14" i="3"/>
  <c r="D13" i="3"/>
  <c r="F13" i="3" s="1"/>
  <c r="G13" i="3" s="1"/>
  <c r="E14" i="3" s="1"/>
  <c r="D49" i="3"/>
  <c r="F49" i="3" s="1"/>
  <c r="G49" i="3" s="1"/>
  <c r="E50" i="3" s="1"/>
  <c r="B50" i="3"/>
  <c r="J174" i="3"/>
  <c r="L173" i="3"/>
  <c r="B70" i="3"/>
  <c r="D69" i="3"/>
  <c r="F69" i="3" s="1"/>
  <c r="L65" i="3"/>
  <c r="J66" i="3"/>
  <c r="L83" i="3"/>
  <c r="J84" i="3"/>
  <c r="L101" i="3"/>
  <c r="J102" i="3"/>
  <c r="B159" i="3"/>
  <c r="D158" i="3"/>
  <c r="F158" i="3" s="1"/>
  <c r="G158" i="3" s="1"/>
  <c r="E159" i="3" s="1"/>
  <c r="B34" i="3"/>
  <c r="D33" i="3"/>
  <c r="F33" i="3" s="1"/>
  <c r="G33" i="3" s="1"/>
  <c r="E34" i="3" s="1"/>
  <c r="J192" i="3"/>
  <c r="L191" i="3"/>
  <c r="B124" i="3"/>
  <c r="D123" i="3"/>
  <c r="F123" i="3" s="1"/>
  <c r="G123" i="3" s="1"/>
  <c r="E124" i="3" s="1"/>
  <c r="B141" i="3"/>
  <c r="D140" i="3"/>
  <c r="F140" i="3" s="1"/>
  <c r="G140" i="3" s="1"/>
  <c r="E141" i="3" s="1"/>
  <c r="L137" i="3"/>
  <c r="J138" i="3"/>
  <c r="L47" i="3"/>
  <c r="J48" i="3"/>
  <c r="J156" i="3"/>
  <c r="L155" i="3"/>
  <c r="L29" i="3"/>
  <c r="J30" i="3"/>
  <c r="J120" i="3"/>
  <c r="L119" i="3"/>
  <c r="L11" i="3"/>
  <c r="J12" i="3"/>
  <c r="G68" i="3"/>
  <c r="E69" i="3" s="1"/>
  <c r="G214" i="3" l="1"/>
  <c r="E215" i="3" s="1"/>
  <c r="D214" i="3"/>
  <c r="F214" i="3" s="1"/>
  <c r="B215" i="3"/>
  <c r="L214" i="3"/>
  <c r="J215" i="3"/>
  <c r="D14" i="3"/>
  <c r="F14" i="3" s="1"/>
  <c r="G14" i="3" s="1"/>
  <c r="E15" i="3" s="1"/>
  <c r="B15" i="3"/>
  <c r="D86" i="3"/>
  <c r="F86" i="3" s="1"/>
  <c r="G86" i="3" s="1"/>
  <c r="E87" i="3" s="1"/>
  <c r="B87" i="3"/>
  <c r="B177" i="3"/>
  <c r="D176" i="3"/>
  <c r="F176" i="3" s="1"/>
  <c r="G176" i="3" s="1"/>
  <c r="E177" i="3" s="1"/>
  <c r="B195" i="3"/>
  <c r="D194" i="3"/>
  <c r="F194" i="3" s="1"/>
  <c r="G194" i="3" s="1"/>
  <c r="E195" i="3" s="1"/>
  <c r="B51" i="3"/>
  <c r="D50" i="3"/>
  <c r="F50" i="3" s="1"/>
  <c r="G50" i="3" s="1"/>
  <c r="E51" i="3" s="1"/>
  <c r="D104" i="3"/>
  <c r="F104" i="3" s="1"/>
  <c r="G104" i="3" s="1"/>
  <c r="E105" i="3" s="1"/>
  <c r="B105" i="3"/>
  <c r="J157" i="3"/>
  <c r="L156" i="3"/>
  <c r="L48" i="3"/>
  <c r="J49" i="3"/>
  <c r="L30" i="3"/>
  <c r="J31" i="3"/>
  <c r="J85" i="3"/>
  <c r="L84" i="3"/>
  <c r="L12" i="3"/>
  <c r="J13" i="3"/>
  <c r="D34" i="3"/>
  <c r="F34" i="3" s="1"/>
  <c r="G34" i="3" s="1"/>
  <c r="E35" i="3" s="1"/>
  <c r="B35" i="3"/>
  <c r="J103" i="3"/>
  <c r="L102" i="3"/>
  <c r="L138" i="3"/>
  <c r="J139" i="3"/>
  <c r="B71" i="3"/>
  <c r="D70" i="3"/>
  <c r="F70" i="3" s="1"/>
  <c r="L192" i="3"/>
  <c r="J193" i="3"/>
  <c r="D124" i="3"/>
  <c r="F124" i="3" s="1"/>
  <c r="G124" i="3" s="1"/>
  <c r="E125" i="3" s="1"/>
  <c r="B125" i="3"/>
  <c r="D141" i="3"/>
  <c r="F141" i="3" s="1"/>
  <c r="G141" i="3" s="1"/>
  <c r="E142" i="3" s="1"/>
  <c r="B142" i="3"/>
  <c r="D159" i="3"/>
  <c r="F159" i="3" s="1"/>
  <c r="G159" i="3" s="1"/>
  <c r="E160" i="3" s="1"/>
  <c r="B160" i="3"/>
  <c r="J67" i="3"/>
  <c r="L66" i="3"/>
  <c r="J175" i="3"/>
  <c r="L174" i="3"/>
  <c r="G69" i="3"/>
  <c r="E70" i="3" s="1"/>
  <c r="J121" i="3"/>
  <c r="L120" i="3"/>
  <c r="J216" i="3" l="1"/>
  <c r="L215" i="3"/>
  <c r="N215" i="3" s="1"/>
  <c r="B216" i="3"/>
  <c r="D215" i="3"/>
  <c r="F215" i="3" s="1"/>
  <c r="G215" i="3" s="1"/>
  <c r="E216" i="3" s="1"/>
  <c r="D195" i="3"/>
  <c r="F195" i="3" s="1"/>
  <c r="G195" i="3" s="1"/>
  <c r="E196" i="3" s="1"/>
  <c r="B196" i="3"/>
  <c r="B106" i="3"/>
  <c r="D105" i="3"/>
  <c r="F105" i="3" s="1"/>
  <c r="G105" i="3" s="1"/>
  <c r="E106" i="3" s="1"/>
  <c r="D177" i="3"/>
  <c r="F177" i="3" s="1"/>
  <c r="G177" i="3" s="1"/>
  <c r="E178" i="3" s="1"/>
  <c r="B178" i="3"/>
  <c r="D87" i="3"/>
  <c r="F87" i="3" s="1"/>
  <c r="G87" i="3" s="1"/>
  <c r="E88" i="3" s="1"/>
  <c r="B88" i="3"/>
  <c r="D51" i="3"/>
  <c r="F51" i="3" s="1"/>
  <c r="G51" i="3" s="1"/>
  <c r="E52" i="3" s="1"/>
  <c r="B52" i="3"/>
  <c r="B16" i="3"/>
  <c r="D15" i="3"/>
  <c r="F15" i="3" s="1"/>
  <c r="G15" i="3" s="1"/>
  <c r="E16" i="3" s="1"/>
  <c r="J32" i="3"/>
  <c r="L31" i="3"/>
  <c r="B126" i="3"/>
  <c r="D125" i="3"/>
  <c r="F125" i="3" s="1"/>
  <c r="G125" i="3" s="1"/>
  <c r="E126" i="3" s="1"/>
  <c r="D160" i="3"/>
  <c r="F160" i="3" s="1"/>
  <c r="G160" i="3" s="1"/>
  <c r="E161" i="3" s="1"/>
  <c r="B161" i="3"/>
  <c r="B72" i="3"/>
  <c r="D71" i="3"/>
  <c r="F71" i="3" s="1"/>
  <c r="B36" i="3"/>
  <c r="D35" i="3"/>
  <c r="F35" i="3" s="1"/>
  <c r="G35" i="3" s="1"/>
  <c r="E36" i="3" s="1"/>
  <c r="L85" i="3"/>
  <c r="J86" i="3"/>
  <c r="J68" i="3"/>
  <c r="L67" i="3"/>
  <c r="J122" i="3"/>
  <c r="L121" i="3"/>
  <c r="J194" i="3"/>
  <c r="L193" i="3"/>
  <c r="L139" i="3"/>
  <c r="J140" i="3"/>
  <c r="J104" i="3"/>
  <c r="L103" i="3"/>
  <c r="J176" i="3"/>
  <c r="L175" i="3"/>
  <c r="L157" i="3"/>
  <c r="J158" i="3"/>
  <c r="G70" i="3"/>
  <c r="E71" i="3" s="1"/>
  <c r="B143" i="3"/>
  <c r="D142" i="3"/>
  <c r="F142" i="3" s="1"/>
  <c r="G142" i="3" s="1"/>
  <c r="E143" i="3" s="1"/>
  <c r="L13" i="3"/>
  <c r="J14" i="3"/>
  <c r="L49" i="3"/>
  <c r="J50" i="3"/>
  <c r="B217" i="3" l="1"/>
  <c r="D216" i="3"/>
  <c r="F216" i="3" s="1"/>
  <c r="G216" i="3" s="1"/>
  <c r="E217" i="3" s="1"/>
  <c r="J217" i="3"/>
  <c r="L216" i="3"/>
  <c r="G71" i="3"/>
  <c r="E72" i="3" s="1"/>
  <c r="B53" i="3"/>
  <c r="D52" i="3"/>
  <c r="F52" i="3" s="1"/>
  <c r="G52" i="3" s="1"/>
  <c r="E53" i="3" s="1"/>
  <c r="B107" i="3"/>
  <c r="D106" i="3"/>
  <c r="F106" i="3" s="1"/>
  <c r="G106" i="3" s="1"/>
  <c r="E107" i="3" s="1"/>
  <c r="D178" i="3"/>
  <c r="F178" i="3" s="1"/>
  <c r="G178" i="3" s="1"/>
  <c r="E179" i="3" s="1"/>
  <c r="B179" i="3"/>
  <c r="B17" i="3"/>
  <c r="D16" i="3"/>
  <c r="F16" i="3" s="1"/>
  <c r="G16" i="3" s="1"/>
  <c r="E17" i="3" s="1"/>
  <c r="B197" i="3"/>
  <c r="D196" i="3"/>
  <c r="F196" i="3" s="1"/>
  <c r="G196" i="3" s="1"/>
  <c r="E197" i="3" s="1"/>
  <c r="B89" i="3"/>
  <c r="D88" i="3"/>
  <c r="F88" i="3" s="1"/>
  <c r="G88" i="3" s="1"/>
  <c r="E89" i="3" s="1"/>
  <c r="J177" i="3"/>
  <c r="L176" i="3"/>
  <c r="D143" i="3"/>
  <c r="F143" i="3" s="1"/>
  <c r="G143" i="3" s="1"/>
  <c r="E144" i="3" s="1"/>
  <c r="B144" i="3"/>
  <c r="L68" i="3"/>
  <c r="J69" i="3"/>
  <c r="J105" i="3"/>
  <c r="L104" i="3"/>
  <c r="D36" i="3"/>
  <c r="F36" i="3" s="1"/>
  <c r="G36" i="3" s="1"/>
  <c r="E37" i="3" s="1"/>
  <c r="B37" i="3"/>
  <c r="J141" i="3"/>
  <c r="L140" i="3"/>
  <c r="J33" i="3"/>
  <c r="L32" i="3"/>
  <c r="D126" i="3"/>
  <c r="F126" i="3" s="1"/>
  <c r="G126" i="3" s="1"/>
  <c r="E127" i="3" s="1"/>
  <c r="B127" i="3"/>
  <c r="J51" i="3"/>
  <c r="L50" i="3"/>
  <c r="L122" i="3"/>
  <c r="J123" i="3"/>
  <c r="L86" i="3"/>
  <c r="J87" i="3"/>
  <c r="D72" i="3"/>
  <c r="F72" i="3" s="1"/>
  <c r="B73" i="3"/>
  <c r="J15" i="3"/>
  <c r="L14" i="3"/>
  <c r="L158" i="3"/>
  <c r="J159" i="3"/>
  <c r="D161" i="3"/>
  <c r="F161" i="3" s="1"/>
  <c r="G161" i="3" s="1"/>
  <c r="E162" i="3" s="1"/>
  <c r="B162" i="3"/>
  <c r="J195" i="3"/>
  <c r="L194" i="3"/>
  <c r="L217" i="3" l="1"/>
  <c r="N217" i="3" s="1"/>
  <c r="J218" i="3"/>
  <c r="B218" i="3"/>
  <c r="D217" i="3"/>
  <c r="F217" i="3" s="1"/>
  <c r="G217" i="3" s="1"/>
  <c r="E218" i="3" s="1"/>
  <c r="G72" i="3"/>
  <c r="E73" i="3" s="1"/>
  <c r="B108" i="3"/>
  <c r="D107" i="3"/>
  <c r="F107" i="3" s="1"/>
  <c r="G107" i="3" s="1"/>
  <c r="E108" i="3" s="1"/>
  <c r="D89" i="3"/>
  <c r="F89" i="3" s="1"/>
  <c r="G89" i="3" s="1"/>
  <c r="E90" i="3" s="1"/>
  <c r="B90" i="3"/>
  <c r="B18" i="3"/>
  <c r="D17" i="3"/>
  <c r="F17" i="3" s="1"/>
  <c r="G17" i="3" s="1"/>
  <c r="E18" i="3" s="1"/>
  <c r="B198" i="3"/>
  <c r="D197" i="3"/>
  <c r="F197" i="3" s="1"/>
  <c r="G197" i="3" s="1"/>
  <c r="E198" i="3" s="1"/>
  <c r="B180" i="3"/>
  <c r="D179" i="3"/>
  <c r="F179" i="3" s="1"/>
  <c r="G179" i="3" s="1"/>
  <c r="E180" i="3" s="1"/>
  <c r="B54" i="3"/>
  <c r="D53" i="3"/>
  <c r="F53" i="3" s="1"/>
  <c r="G53" i="3" s="1"/>
  <c r="E54" i="3" s="1"/>
  <c r="J124" i="3"/>
  <c r="L123" i="3"/>
  <c r="L33" i="3"/>
  <c r="J34" i="3"/>
  <c r="J70" i="3"/>
  <c r="L69" i="3"/>
  <c r="B145" i="3"/>
  <c r="D144" i="3"/>
  <c r="F144" i="3" s="1"/>
  <c r="G144" i="3" s="1"/>
  <c r="E145" i="3" s="1"/>
  <c r="L159" i="3"/>
  <c r="J160" i="3"/>
  <c r="L51" i="3"/>
  <c r="J52" i="3"/>
  <c r="L177" i="3"/>
  <c r="J178" i="3"/>
  <c r="B128" i="3"/>
  <c r="D127" i="3"/>
  <c r="F127" i="3" s="1"/>
  <c r="G127" i="3" s="1"/>
  <c r="E128" i="3" s="1"/>
  <c r="J106" i="3"/>
  <c r="L105" i="3"/>
  <c r="B163" i="3"/>
  <c r="D162" i="3"/>
  <c r="F162" i="3" s="1"/>
  <c r="G162" i="3" s="1"/>
  <c r="E163" i="3" s="1"/>
  <c r="J196" i="3"/>
  <c r="L195" i="3"/>
  <c r="B74" i="3"/>
  <c r="D73" i="3"/>
  <c r="F73" i="3" s="1"/>
  <c r="L141" i="3"/>
  <c r="J142" i="3"/>
  <c r="B38" i="3"/>
  <c r="D37" i="3"/>
  <c r="F37" i="3" s="1"/>
  <c r="G37" i="3" s="1"/>
  <c r="E38" i="3" s="1"/>
  <c r="L15" i="3"/>
  <c r="J16" i="3"/>
  <c r="L87" i="3"/>
  <c r="J88" i="3"/>
  <c r="L218" i="3" l="1"/>
  <c r="N218" i="3" s="1"/>
  <c r="J219" i="3"/>
  <c r="D218" i="3"/>
  <c r="F218" i="3" s="1"/>
  <c r="G218" i="3" s="1"/>
  <c r="E219" i="3" s="1"/>
  <c r="B219" i="3"/>
  <c r="G73" i="3"/>
  <c r="E74" i="3" s="1"/>
  <c r="D18" i="3"/>
  <c r="F18" i="3" s="1"/>
  <c r="G18" i="3" s="1"/>
  <c r="E19" i="3" s="1"/>
  <c r="B19" i="3"/>
  <c r="D90" i="3"/>
  <c r="F90" i="3" s="1"/>
  <c r="G90" i="3" s="1"/>
  <c r="E91" i="3" s="1"/>
  <c r="B91" i="3"/>
  <c r="D54" i="3"/>
  <c r="F54" i="3" s="1"/>
  <c r="G54" i="3" s="1"/>
  <c r="E55" i="3" s="1"/>
  <c r="B55" i="3"/>
  <c r="B199" i="3"/>
  <c r="D198" i="3"/>
  <c r="F198" i="3" s="1"/>
  <c r="G198" i="3" s="1"/>
  <c r="E199" i="3" s="1"/>
  <c r="D180" i="3"/>
  <c r="F180" i="3" s="1"/>
  <c r="G180" i="3" s="1"/>
  <c r="E181" i="3" s="1"/>
  <c r="B181" i="3"/>
  <c r="B109" i="3"/>
  <c r="D108" i="3"/>
  <c r="F108" i="3" s="1"/>
  <c r="G108" i="3" s="1"/>
  <c r="E109" i="3" s="1"/>
  <c r="J17" i="3"/>
  <c r="L16" i="3"/>
  <c r="J35" i="3"/>
  <c r="L34" i="3"/>
  <c r="D74" i="3"/>
  <c r="F74" i="3" s="1"/>
  <c r="G74" i="3" s="1"/>
  <c r="E75" i="3" s="1"/>
  <c r="B75" i="3"/>
  <c r="D128" i="3"/>
  <c r="F128" i="3" s="1"/>
  <c r="G128" i="3" s="1"/>
  <c r="E129" i="3" s="1"/>
  <c r="B129" i="3"/>
  <c r="B146" i="3"/>
  <c r="D145" i="3"/>
  <c r="F145" i="3" s="1"/>
  <c r="G145" i="3" s="1"/>
  <c r="E146" i="3" s="1"/>
  <c r="L124" i="3"/>
  <c r="J125" i="3"/>
  <c r="J53" i="3"/>
  <c r="L52" i="3"/>
  <c r="J197" i="3"/>
  <c r="L196" i="3"/>
  <c r="J161" i="3"/>
  <c r="L160" i="3"/>
  <c r="D38" i="3"/>
  <c r="F38" i="3" s="1"/>
  <c r="G38" i="3" s="1"/>
  <c r="E39" i="3" s="1"/>
  <c r="B39" i="3"/>
  <c r="J179" i="3"/>
  <c r="L178" i="3"/>
  <c r="L142" i="3"/>
  <c r="J143" i="3"/>
  <c r="D163" i="3"/>
  <c r="F163" i="3" s="1"/>
  <c r="G163" i="3" s="1"/>
  <c r="E164" i="3" s="1"/>
  <c r="B164" i="3"/>
  <c r="J89" i="3"/>
  <c r="L88" i="3"/>
  <c r="J107" i="3"/>
  <c r="L106" i="3"/>
  <c r="J71" i="3"/>
  <c r="L70" i="3"/>
  <c r="L219" i="3" l="1"/>
  <c r="N219" i="3" s="1"/>
  <c r="J220" i="3"/>
  <c r="B220" i="3"/>
  <c r="D219" i="3"/>
  <c r="F219" i="3" s="1"/>
  <c r="G219" i="3" s="1"/>
  <c r="E220" i="3" s="1"/>
  <c r="B200" i="3"/>
  <c r="D199" i="3"/>
  <c r="F199" i="3" s="1"/>
  <c r="G199" i="3" s="1"/>
  <c r="E200" i="3" s="1"/>
  <c r="B56" i="3"/>
  <c r="D55" i="3"/>
  <c r="F55" i="3" s="1"/>
  <c r="G55" i="3" s="1"/>
  <c r="E56" i="3" s="1"/>
  <c r="D109" i="3"/>
  <c r="F109" i="3" s="1"/>
  <c r="G109" i="3" s="1"/>
  <c r="E110" i="3" s="1"/>
  <c r="B110" i="3"/>
  <c r="D91" i="3"/>
  <c r="F91" i="3" s="1"/>
  <c r="G91" i="3" s="1"/>
  <c r="E92" i="3" s="1"/>
  <c r="B92" i="3"/>
  <c r="D181" i="3"/>
  <c r="F181" i="3" s="1"/>
  <c r="G181" i="3" s="1"/>
  <c r="E182" i="3" s="1"/>
  <c r="B182" i="3"/>
  <c r="B20" i="3"/>
  <c r="D19" i="3"/>
  <c r="F19" i="3" s="1"/>
  <c r="G19" i="3" s="1"/>
  <c r="E20" i="3" s="1"/>
  <c r="J72" i="3"/>
  <c r="L71" i="3"/>
  <c r="L161" i="3"/>
  <c r="J162" i="3"/>
  <c r="J126" i="3"/>
  <c r="L125" i="3"/>
  <c r="L89" i="3"/>
  <c r="J90" i="3"/>
  <c r="L197" i="3"/>
  <c r="J198" i="3"/>
  <c r="B76" i="3"/>
  <c r="D75" i="3"/>
  <c r="F75" i="3" s="1"/>
  <c r="G75" i="3" s="1"/>
  <c r="E76" i="3" s="1"/>
  <c r="B165" i="3"/>
  <c r="D164" i="3"/>
  <c r="F164" i="3" s="1"/>
  <c r="G164" i="3" s="1"/>
  <c r="E165" i="3" s="1"/>
  <c r="L35" i="3"/>
  <c r="J36" i="3"/>
  <c r="J180" i="3"/>
  <c r="L179" i="3"/>
  <c r="L107" i="3"/>
  <c r="J108" i="3"/>
  <c r="D146" i="3"/>
  <c r="F146" i="3" s="1"/>
  <c r="G146" i="3" s="1"/>
  <c r="E147" i="3" s="1"/>
  <c r="B147" i="3"/>
  <c r="L143" i="3"/>
  <c r="J144" i="3"/>
  <c r="D39" i="3"/>
  <c r="F39" i="3" s="1"/>
  <c r="G39" i="3" s="1"/>
  <c r="E40" i="3" s="1"/>
  <c r="B40" i="3"/>
  <c r="L53" i="3"/>
  <c r="J54" i="3"/>
  <c r="D129" i="3"/>
  <c r="F129" i="3" s="1"/>
  <c r="G129" i="3" s="1"/>
  <c r="E130" i="3" s="1"/>
  <c r="B130" i="3"/>
  <c r="L17" i="3"/>
  <c r="J18" i="3"/>
  <c r="G220" i="3" l="1"/>
  <c r="E221" i="3" s="1"/>
  <c r="G221" i="3" s="1"/>
  <c r="F53" i="1" s="1"/>
  <c r="B221" i="3"/>
  <c r="D221" i="3" s="1"/>
  <c r="F221" i="3" s="1"/>
  <c r="D220" i="3"/>
  <c r="F220" i="3" s="1"/>
  <c r="L220" i="3"/>
  <c r="N220" i="3" s="1"/>
  <c r="J221" i="3"/>
  <c r="L221" i="3" s="1"/>
  <c r="N221" i="3" s="1"/>
  <c r="B111" i="3"/>
  <c r="D110" i="3"/>
  <c r="F110" i="3" s="1"/>
  <c r="G110" i="3" s="1"/>
  <c r="E111" i="3" s="1"/>
  <c r="D20" i="3"/>
  <c r="F20" i="3" s="1"/>
  <c r="G20" i="3" s="1"/>
  <c r="E21" i="3" s="1"/>
  <c r="B21" i="3"/>
  <c r="D182" i="3"/>
  <c r="F182" i="3" s="1"/>
  <c r="G182" i="3" s="1"/>
  <c r="E183" i="3" s="1"/>
  <c r="B183" i="3"/>
  <c r="B57" i="3"/>
  <c r="D56" i="3"/>
  <c r="F56" i="3" s="1"/>
  <c r="G56" i="3" s="1"/>
  <c r="E57" i="3" s="1"/>
  <c r="B93" i="3"/>
  <c r="D92" i="3"/>
  <c r="F92" i="3" s="1"/>
  <c r="G92" i="3" s="1"/>
  <c r="E93" i="3" s="1"/>
  <c r="D200" i="3"/>
  <c r="F200" i="3" s="1"/>
  <c r="G200" i="3" s="1"/>
  <c r="E201" i="3" s="1"/>
  <c r="B201" i="3"/>
  <c r="L180" i="3"/>
  <c r="J181" i="3"/>
  <c r="J91" i="3"/>
  <c r="L90" i="3"/>
  <c r="L36" i="3"/>
  <c r="J37" i="3"/>
  <c r="D76" i="3"/>
  <c r="F76" i="3" s="1"/>
  <c r="G76" i="3" s="1"/>
  <c r="E77" i="3" s="1"/>
  <c r="B77" i="3"/>
  <c r="D77" i="3" s="1"/>
  <c r="F77" i="3" s="1"/>
  <c r="J55" i="3"/>
  <c r="L54" i="3"/>
  <c r="L126" i="3"/>
  <c r="J127" i="3"/>
  <c r="B41" i="3"/>
  <c r="D41" i="3" s="1"/>
  <c r="F41" i="3" s="1"/>
  <c r="D40" i="3"/>
  <c r="F40" i="3" s="1"/>
  <c r="G40" i="3" s="1"/>
  <c r="E41" i="3" s="1"/>
  <c r="L162" i="3"/>
  <c r="J163" i="3"/>
  <c r="D130" i="3"/>
  <c r="F130" i="3" s="1"/>
  <c r="G130" i="3" s="1"/>
  <c r="E131" i="3" s="1"/>
  <c r="B131" i="3"/>
  <c r="D131" i="3" s="1"/>
  <c r="F131" i="3" s="1"/>
  <c r="B148" i="3"/>
  <c r="D147" i="3"/>
  <c r="F147" i="3" s="1"/>
  <c r="G147" i="3" s="1"/>
  <c r="E148" i="3" s="1"/>
  <c r="J19" i="3"/>
  <c r="L18" i="3"/>
  <c r="J199" i="3"/>
  <c r="L198" i="3"/>
  <c r="J73" i="3"/>
  <c r="L72" i="3"/>
  <c r="L108" i="3"/>
  <c r="J109" i="3"/>
  <c r="B166" i="3"/>
  <c r="D165" i="3"/>
  <c r="F165" i="3" s="1"/>
  <c r="G165" i="3" s="1"/>
  <c r="E166" i="3" s="1"/>
  <c r="L144" i="3"/>
  <c r="J145" i="3"/>
  <c r="K208" i="3" l="1"/>
  <c r="H53" i="1"/>
  <c r="I53" i="1"/>
  <c r="G53" i="1"/>
  <c r="G41" i="3"/>
  <c r="F43" i="1" s="1"/>
  <c r="H43" i="1" s="1"/>
  <c r="D183" i="3"/>
  <c r="F183" i="3" s="1"/>
  <c r="G183" i="3" s="1"/>
  <c r="E184" i="3" s="1"/>
  <c r="B184" i="3"/>
  <c r="B202" i="3"/>
  <c r="D201" i="3"/>
  <c r="F201" i="3" s="1"/>
  <c r="G201" i="3" s="1"/>
  <c r="E202" i="3" s="1"/>
  <c r="D21" i="3"/>
  <c r="F21" i="3" s="1"/>
  <c r="G21" i="3" s="1"/>
  <c r="E22" i="3" s="1"/>
  <c r="B22" i="3"/>
  <c r="D111" i="3"/>
  <c r="F111" i="3" s="1"/>
  <c r="G111" i="3" s="1"/>
  <c r="E112" i="3" s="1"/>
  <c r="B112" i="3"/>
  <c r="G77" i="3"/>
  <c r="F45" i="1" s="1"/>
  <c r="K64" i="3" s="1"/>
  <c r="D93" i="3"/>
  <c r="F93" i="3" s="1"/>
  <c r="G93" i="3" s="1"/>
  <c r="E94" i="3" s="1"/>
  <c r="B94" i="3"/>
  <c r="B58" i="3"/>
  <c r="D57" i="3"/>
  <c r="F57" i="3" s="1"/>
  <c r="G57" i="3" s="1"/>
  <c r="E58" i="3" s="1"/>
  <c r="G131" i="3"/>
  <c r="F48" i="1" s="1"/>
  <c r="D166" i="3"/>
  <c r="F166" i="3" s="1"/>
  <c r="G166" i="3" s="1"/>
  <c r="E167" i="3" s="1"/>
  <c r="B167" i="3"/>
  <c r="D167" i="3" s="1"/>
  <c r="F167" i="3" s="1"/>
  <c r="L19" i="3"/>
  <c r="J20" i="3"/>
  <c r="J38" i="3"/>
  <c r="L37" i="3"/>
  <c r="J200" i="3"/>
  <c r="L199" i="3"/>
  <c r="L109" i="3"/>
  <c r="J110" i="3"/>
  <c r="L145" i="3"/>
  <c r="J146" i="3"/>
  <c r="L163" i="3"/>
  <c r="J164" i="3"/>
  <c r="L127" i="3"/>
  <c r="J128" i="3"/>
  <c r="D148" i="3"/>
  <c r="F148" i="3" s="1"/>
  <c r="G148" i="3" s="1"/>
  <c r="E149" i="3" s="1"/>
  <c r="B149" i="3"/>
  <c r="D149" i="3" s="1"/>
  <c r="F149" i="3" s="1"/>
  <c r="L91" i="3"/>
  <c r="J92" i="3"/>
  <c r="J182" i="3"/>
  <c r="L181" i="3"/>
  <c r="L73" i="3"/>
  <c r="J74" i="3"/>
  <c r="L55" i="3"/>
  <c r="J56" i="3"/>
  <c r="K209" i="3" l="1"/>
  <c r="N208" i="3"/>
  <c r="O208" i="3" s="1"/>
  <c r="M209" i="3" s="1"/>
  <c r="G43" i="1"/>
  <c r="I43" i="1" s="1"/>
  <c r="K28" i="3"/>
  <c r="K29" i="3" s="1"/>
  <c r="G45" i="1"/>
  <c r="H45" i="1"/>
  <c r="I45" i="1"/>
  <c r="G149" i="3"/>
  <c r="F49" i="1" s="1"/>
  <c r="H49" i="1" s="1"/>
  <c r="G167" i="3"/>
  <c r="F50" i="1" s="1"/>
  <c r="H50" i="1" s="1"/>
  <c r="B203" i="3"/>
  <c r="D203" i="3" s="1"/>
  <c r="F203" i="3" s="1"/>
  <c r="D202" i="3"/>
  <c r="F202" i="3" s="1"/>
  <c r="G202" i="3" s="1"/>
  <c r="E203" i="3" s="1"/>
  <c r="B185" i="3"/>
  <c r="D185" i="3" s="1"/>
  <c r="F185" i="3" s="1"/>
  <c r="D184" i="3"/>
  <c r="F184" i="3" s="1"/>
  <c r="G184" i="3" s="1"/>
  <c r="E185" i="3" s="1"/>
  <c r="D22" i="3"/>
  <c r="F22" i="3" s="1"/>
  <c r="G22" i="3" s="1"/>
  <c r="E23" i="3" s="1"/>
  <c r="B23" i="3"/>
  <c r="D23" i="3" s="1"/>
  <c r="F23" i="3" s="1"/>
  <c r="D94" i="3"/>
  <c r="F94" i="3" s="1"/>
  <c r="G94" i="3" s="1"/>
  <c r="E95" i="3" s="1"/>
  <c r="B95" i="3"/>
  <c r="D95" i="3" s="1"/>
  <c r="F95" i="3" s="1"/>
  <c r="D112" i="3"/>
  <c r="F112" i="3" s="1"/>
  <c r="G112" i="3" s="1"/>
  <c r="E113" i="3" s="1"/>
  <c r="B113" i="3"/>
  <c r="D113" i="3" s="1"/>
  <c r="F113" i="3" s="1"/>
  <c r="B59" i="3"/>
  <c r="D59" i="3" s="1"/>
  <c r="F59" i="3" s="1"/>
  <c r="D58" i="3"/>
  <c r="F58" i="3" s="1"/>
  <c r="G58" i="3" s="1"/>
  <c r="E59" i="3" s="1"/>
  <c r="J39" i="3"/>
  <c r="L38" i="3"/>
  <c r="L182" i="3"/>
  <c r="J183" i="3"/>
  <c r="H48" i="1"/>
  <c r="G48" i="1"/>
  <c r="K118" i="3"/>
  <c r="L74" i="3"/>
  <c r="J75" i="3"/>
  <c r="L92" i="3"/>
  <c r="J93" i="3"/>
  <c r="J111" i="3"/>
  <c r="L110" i="3"/>
  <c r="J165" i="3"/>
  <c r="L164" i="3"/>
  <c r="L56" i="3"/>
  <c r="J57" i="3"/>
  <c r="K65" i="3"/>
  <c r="N64" i="3"/>
  <c r="O64" i="3" s="1"/>
  <c r="M65" i="3" s="1"/>
  <c r="J129" i="3"/>
  <c r="L128" i="3"/>
  <c r="L146" i="3"/>
  <c r="J147" i="3"/>
  <c r="L200" i="3"/>
  <c r="J201" i="3"/>
  <c r="J21" i="3"/>
  <c r="L20" i="3"/>
  <c r="K210" i="3" l="1"/>
  <c r="N209" i="3"/>
  <c r="O209" i="3" s="1"/>
  <c r="M210" i="3" s="1"/>
  <c r="K66" i="3"/>
  <c r="N65" i="3"/>
  <c r="O65" i="3" s="1"/>
  <c r="M66" i="3" s="1"/>
  <c r="K30" i="3"/>
  <c r="K31" i="3" s="1"/>
  <c r="N29" i="3"/>
  <c r="N28" i="3"/>
  <c r="O28" i="3" s="1"/>
  <c r="M29" i="3" s="1"/>
  <c r="O29" i="3" s="1"/>
  <c r="M30" i="3" s="1"/>
  <c r="G203" i="3"/>
  <c r="F52" i="1" s="1"/>
  <c r="G52" i="1" s="1"/>
  <c r="G59" i="3"/>
  <c r="F44" i="1" s="1"/>
  <c r="K46" i="3" s="1"/>
  <c r="G185" i="3"/>
  <c r="F51" i="1" s="1"/>
  <c r="G51" i="1" s="1"/>
  <c r="K154" i="3"/>
  <c r="N154" i="3" s="1"/>
  <c r="O154" i="3" s="1"/>
  <c r="M155" i="3" s="1"/>
  <c r="G50" i="1"/>
  <c r="I50" i="1" s="1"/>
  <c r="K136" i="3"/>
  <c r="N136" i="3" s="1"/>
  <c r="O136" i="3" s="1"/>
  <c r="M137" i="3" s="1"/>
  <c r="G49" i="1"/>
  <c r="I49" i="1" s="1"/>
  <c r="G95" i="3"/>
  <c r="F46" i="1" s="1"/>
  <c r="G23" i="3"/>
  <c r="F42" i="1" s="1"/>
  <c r="K190" i="3"/>
  <c r="I48" i="1"/>
  <c r="G113" i="3"/>
  <c r="F47" i="1" s="1"/>
  <c r="J166" i="3"/>
  <c r="L165" i="3"/>
  <c r="N165" i="3" s="1"/>
  <c r="K119" i="3"/>
  <c r="N118" i="3"/>
  <c r="O118" i="3" s="1"/>
  <c r="M119" i="3" s="1"/>
  <c r="L147" i="3"/>
  <c r="N147" i="3" s="1"/>
  <c r="J148" i="3"/>
  <c r="L129" i="3"/>
  <c r="N129" i="3" s="1"/>
  <c r="J130" i="3"/>
  <c r="J112" i="3"/>
  <c r="L111" i="3"/>
  <c r="N111" i="3" s="1"/>
  <c r="J40" i="3"/>
  <c r="L39" i="3"/>
  <c r="N39" i="3" s="1"/>
  <c r="L21" i="3"/>
  <c r="N21" i="3" s="1"/>
  <c r="J22" i="3"/>
  <c r="K67" i="3"/>
  <c r="N66" i="3"/>
  <c r="L93" i="3"/>
  <c r="N93" i="3" s="1"/>
  <c r="J94" i="3"/>
  <c r="L183" i="3"/>
  <c r="N183" i="3" s="1"/>
  <c r="J184" i="3"/>
  <c r="J202" i="3"/>
  <c r="L201" i="3"/>
  <c r="N201" i="3" s="1"/>
  <c r="J58" i="3"/>
  <c r="L57" i="3"/>
  <c r="N57" i="3" s="1"/>
  <c r="J76" i="3"/>
  <c r="L75" i="3"/>
  <c r="N75" i="3" s="1"/>
  <c r="K211" i="3" l="1"/>
  <c r="K212" i="3" s="1"/>
  <c r="N210" i="3"/>
  <c r="O210" i="3" s="1"/>
  <c r="M211" i="3" s="1"/>
  <c r="O211" i="3" s="1"/>
  <c r="M212" i="3" s="1"/>
  <c r="K120" i="3"/>
  <c r="N120" i="3" s="1"/>
  <c r="N119" i="3"/>
  <c r="O119" i="3" s="1"/>
  <c r="M120" i="3" s="1"/>
  <c r="O66" i="3"/>
  <c r="M67" i="3" s="1"/>
  <c r="N30" i="3"/>
  <c r="O30" i="3" s="1"/>
  <c r="M31" i="3" s="1"/>
  <c r="H52" i="1"/>
  <c r="I52" i="1" s="1"/>
  <c r="K172" i="3"/>
  <c r="K155" i="3"/>
  <c r="H51" i="1"/>
  <c r="I51" i="1" s="1"/>
  <c r="G44" i="1"/>
  <c r="H44" i="1"/>
  <c r="K137" i="3"/>
  <c r="K191" i="3"/>
  <c r="N190" i="3"/>
  <c r="O190" i="3" s="1"/>
  <c r="M191" i="3" s="1"/>
  <c r="K173" i="3"/>
  <c r="N172" i="3"/>
  <c r="O172" i="3" s="1"/>
  <c r="M173" i="3" s="1"/>
  <c r="K10" i="3"/>
  <c r="G42" i="1"/>
  <c r="H42" i="1"/>
  <c r="K68" i="3"/>
  <c r="K69" i="3" s="1"/>
  <c r="N67" i="3"/>
  <c r="H47" i="1"/>
  <c r="G47" i="1"/>
  <c r="K100" i="3"/>
  <c r="K32" i="3"/>
  <c r="K33" i="3" s="1"/>
  <c r="N31" i="3"/>
  <c r="K47" i="3"/>
  <c r="N46" i="3"/>
  <c r="O46" i="3" s="1"/>
  <c r="M47" i="3" s="1"/>
  <c r="K82" i="3"/>
  <c r="G46" i="1"/>
  <c r="H46" i="1"/>
  <c r="L202" i="3"/>
  <c r="N202" i="3" s="1"/>
  <c r="J203" i="3"/>
  <c r="L203" i="3" s="1"/>
  <c r="N203" i="3" s="1"/>
  <c r="J185" i="3"/>
  <c r="L185" i="3" s="1"/>
  <c r="N185" i="3" s="1"/>
  <c r="L184" i="3"/>
  <c r="N184" i="3" s="1"/>
  <c r="J59" i="3"/>
  <c r="L59" i="3" s="1"/>
  <c r="N59" i="3" s="1"/>
  <c r="L58" i="3"/>
  <c r="N58" i="3" s="1"/>
  <c r="L112" i="3"/>
  <c r="N112" i="3" s="1"/>
  <c r="J113" i="3"/>
  <c r="L113" i="3" s="1"/>
  <c r="N113" i="3" s="1"/>
  <c r="J23" i="3"/>
  <c r="L23" i="3" s="1"/>
  <c r="N23" i="3" s="1"/>
  <c r="L22" i="3"/>
  <c r="N22" i="3" s="1"/>
  <c r="J131" i="3"/>
  <c r="L131" i="3" s="1"/>
  <c r="N131" i="3" s="1"/>
  <c r="L130" i="3"/>
  <c r="N130" i="3" s="1"/>
  <c r="K121" i="3"/>
  <c r="J95" i="3"/>
  <c r="L95" i="3" s="1"/>
  <c r="N95" i="3" s="1"/>
  <c r="L94" i="3"/>
  <c r="N94" i="3" s="1"/>
  <c r="J149" i="3"/>
  <c r="L149" i="3" s="1"/>
  <c r="N149" i="3" s="1"/>
  <c r="L148" i="3"/>
  <c r="N148" i="3" s="1"/>
  <c r="J167" i="3"/>
  <c r="L167" i="3" s="1"/>
  <c r="N167" i="3" s="1"/>
  <c r="L166" i="3"/>
  <c r="N166" i="3" s="1"/>
  <c r="L76" i="3"/>
  <c r="N76" i="3" s="1"/>
  <c r="J77" i="3"/>
  <c r="L77" i="3" s="1"/>
  <c r="N77" i="3" s="1"/>
  <c r="J41" i="3"/>
  <c r="L41" i="3" s="1"/>
  <c r="N41" i="3" s="1"/>
  <c r="L40" i="3"/>
  <c r="N40" i="3" s="1"/>
  <c r="K213" i="3" l="1"/>
  <c r="K214" i="3" s="1"/>
  <c r="N212" i="3"/>
  <c r="O212" i="3" s="1"/>
  <c r="M213" i="3" s="1"/>
  <c r="O213" i="3" s="1"/>
  <c r="M214" i="3" s="1"/>
  <c r="O120" i="3"/>
  <c r="M121" i="3" s="1"/>
  <c r="O31" i="3"/>
  <c r="M32" i="3" s="1"/>
  <c r="O67" i="3"/>
  <c r="M68" i="3" s="1"/>
  <c r="K192" i="3"/>
  <c r="N192" i="3" s="1"/>
  <c r="N191" i="3"/>
  <c r="O191" i="3" s="1"/>
  <c r="M192" i="3" s="1"/>
  <c r="K138" i="3"/>
  <c r="N138" i="3" s="1"/>
  <c r="N137" i="3"/>
  <c r="O137" i="3" s="1"/>
  <c r="M138" i="3" s="1"/>
  <c r="K48" i="3"/>
  <c r="N48" i="3" s="1"/>
  <c r="N47" i="3"/>
  <c r="O47" i="3" s="1"/>
  <c r="M48" i="3" s="1"/>
  <c r="N32" i="3"/>
  <c r="K174" i="3"/>
  <c r="N174" i="3" s="1"/>
  <c r="N173" i="3"/>
  <c r="O173" i="3" s="1"/>
  <c r="M174" i="3" s="1"/>
  <c r="K156" i="3"/>
  <c r="N155" i="3"/>
  <c r="O155" i="3" s="1"/>
  <c r="M156" i="3" s="1"/>
  <c r="I44" i="1"/>
  <c r="I47" i="1"/>
  <c r="I46" i="1"/>
  <c r="K122" i="3"/>
  <c r="K123" i="3" s="1"/>
  <c r="N121" i="3"/>
  <c r="K175" i="3"/>
  <c r="N10" i="3"/>
  <c r="O10" i="3" s="1"/>
  <c r="M11" i="3" s="1"/>
  <c r="K11" i="3"/>
  <c r="N157" i="3"/>
  <c r="K193" i="3"/>
  <c r="N139" i="3"/>
  <c r="K83" i="3"/>
  <c r="N82" i="3"/>
  <c r="O82" i="3" s="1"/>
  <c r="M83" i="3" s="1"/>
  <c r="N68" i="3"/>
  <c r="K101" i="3"/>
  <c r="N100" i="3"/>
  <c r="O100" i="3" s="1"/>
  <c r="M101" i="3" s="1"/>
  <c r="I42" i="1"/>
  <c r="K70" i="3"/>
  <c r="N69" i="3"/>
  <c r="K34" i="3"/>
  <c r="N33" i="3"/>
  <c r="O192" i="3" l="1"/>
  <c r="M193" i="3" s="1"/>
  <c r="O32" i="3"/>
  <c r="M33" i="3" s="1"/>
  <c r="O48" i="3"/>
  <c r="M49" i="3" s="1"/>
  <c r="K49" i="3"/>
  <c r="K215" i="3"/>
  <c r="K216" i="3" s="1"/>
  <c r="N214" i="3"/>
  <c r="O214" i="3" s="1"/>
  <c r="M215" i="3" s="1"/>
  <c r="O215" i="3" s="1"/>
  <c r="M216" i="3" s="1"/>
  <c r="O68" i="3"/>
  <c r="M69" i="3" s="1"/>
  <c r="O69" i="3" s="1"/>
  <c r="M70" i="3" s="1"/>
  <c r="O121" i="3"/>
  <c r="M122" i="3" s="1"/>
  <c r="O138" i="3"/>
  <c r="M139" i="3" s="1"/>
  <c r="O139" i="3" s="1"/>
  <c r="M140" i="3" s="1"/>
  <c r="O174" i="3"/>
  <c r="M175" i="3" s="1"/>
  <c r="K102" i="3"/>
  <c r="N102" i="3" s="1"/>
  <c r="N101" i="3"/>
  <c r="O101" i="3" s="1"/>
  <c r="M102" i="3" s="1"/>
  <c r="N156" i="3"/>
  <c r="O156" i="3" s="1"/>
  <c r="M157" i="3" s="1"/>
  <c r="O157" i="3" s="1"/>
  <c r="M158" i="3" s="1"/>
  <c r="K157" i="3"/>
  <c r="K158" i="3" s="1"/>
  <c r="K159" i="3" s="1"/>
  <c r="K12" i="3"/>
  <c r="N11" i="3"/>
  <c r="O11" i="3"/>
  <c r="M12" i="3" s="1"/>
  <c r="K84" i="3"/>
  <c r="N84" i="3" s="1"/>
  <c r="N83" i="3"/>
  <c r="O83" i="3" s="1"/>
  <c r="M84" i="3" s="1"/>
  <c r="K139" i="3"/>
  <c r="K140" i="3" s="1"/>
  <c r="K141" i="3" s="1"/>
  <c r="K142" i="3" s="1"/>
  <c r="N158" i="3"/>
  <c r="C29" i="1"/>
  <c r="O33" i="3"/>
  <c r="M34" i="3" s="1"/>
  <c r="N122" i="3"/>
  <c r="O122" i="3" s="1"/>
  <c r="M123" i="3" s="1"/>
  <c r="K71" i="3"/>
  <c r="N70" i="3"/>
  <c r="K35" i="3"/>
  <c r="N34" i="3"/>
  <c r="K176" i="3"/>
  <c r="N175" i="3"/>
  <c r="O175" i="3" s="1"/>
  <c r="M176" i="3" s="1"/>
  <c r="K50" i="3"/>
  <c r="N49" i="3"/>
  <c r="O49" i="3" s="1"/>
  <c r="M50" i="3" s="1"/>
  <c r="K194" i="3"/>
  <c r="N193" i="3"/>
  <c r="O193" i="3" s="1"/>
  <c r="M194" i="3" s="1"/>
  <c r="N12" i="3"/>
  <c r="O12" i="3" s="1"/>
  <c r="M13" i="3" s="1"/>
  <c r="K13" i="3"/>
  <c r="N141" i="3"/>
  <c r="K160" i="3"/>
  <c r="N159" i="3"/>
  <c r="K124" i="3"/>
  <c r="N123" i="3"/>
  <c r="K103" i="3" l="1"/>
  <c r="K85" i="3"/>
  <c r="K217" i="3"/>
  <c r="K218" i="3" s="1"/>
  <c r="K219" i="3" s="1"/>
  <c r="K220" i="3" s="1"/>
  <c r="K221" i="3" s="1"/>
  <c r="N216" i="3"/>
  <c r="O216" i="3" s="1"/>
  <c r="M217" i="3" s="1"/>
  <c r="O217" i="3" s="1"/>
  <c r="M218" i="3" s="1"/>
  <c r="O218" i="3" s="1"/>
  <c r="M219" i="3" s="1"/>
  <c r="O219" i="3" s="1"/>
  <c r="M220" i="3" s="1"/>
  <c r="O220" i="3" s="1"/>
  <c r="M221" i="3" s="1"/>
  <c r="O221" i="3" s="1"/>
  <c r="J53" i="1" s="1"/>
  <c r="O84" i="3"/>
  <c r="M85" i="3" s="1"/>
  <c r="O102" i="3"/>
  <c r="M103" i="3" s="1"/>
  <c r="O158" i="3"/>
  <c r="M159" i="3" s="1"/>
  <c r="O159" i="3" s="1"/>
  <c r="M160" i="3" s="1"/>
  <c r="N140" i="3"/>
  <c r="O140" i="3" s="1"/>
  <c r="M141" i="3" s="1"/>
  <c r="O34" i="3"/>
  <c r="M35" i="3" s="1"/>
  <c r="O141" i="3"/>
  <c r="M142" i="3" s="1"/>
  <c r="K36" i="3"/>
  <c r="K37" i="3" s="1"/>
  <c r="K38" i="3" s="1"/>
  <c r="N35" i="3"/>
  <c r="K72" i="3"/>
  <c r="N71" i="3"/>
  <c r="N37" i="3"/>
  <c r="K125" i="3"/>
  <c r="N124" i="3"/>
  <c r="K143" i="3"/>
  <c r="N142" i="3"/>
  <c r="K161" i="3"/>
  <c r="N160" i="3"/>
  <c r="N73" i="3"/>
  <c r="O123" i="3"/>
  <c r="M124" i="3" s="1"/>
  <c r="O70" i="3"/>
  <c r="M71" i="3" s="1"/>
  <c r="N194" i="3"/>
  <c r="O194" i="3" s="1"/>
  <c r="M195" i="3" s="1"/>
  <c r="K195" i="3"/>
  <c r="K104" i="3"/>
  <c r="N103" i="3"/>
  <c r="K86" i="3"/>
  <c r="N85" i="3"/>
  <c r="O85" i="3" s="1"/>
  <c r="M86" i="3" s="1"/>
  <c r="K51" i="3"/>
  <c r="N50" i="3"/>
  <c r="O50" i="3" s="1"/>
  <c r="M51" i="3" s="1"/>
  <c r="K14" i="3"/>
  <c r="N13" i="3"/>
  <c r="O13" i="3" s="1"/>
  <c r="M14" i="3" s="1"/>
  <c r="K177" i="3"/>
  <c r="N176" i="3"/>
  <c r="O176" i="3" s="1"/>
  <c r="M177" i="3" s="1"/>
  <c r="K53" i="1" l="1"/>
  <c r="L53" i="1"/>
  <c r="O103" i="3"/>
  <c r="M104" i="3" s="1"/>
  <c r="N36" i="3"/>
  <c r="K73" i="3"/>
  <c r="K74" i="3" s="1"/>
  <c r="N72" i="3"/>
  <c r="O124" i="3"/>
  <c r="M125" i="3" s="1"/>
  <c r="O142" i="3"/>
  <c r="M143" i="3" s="1"/>
  <c r="O35" i="3"/>
  <c r="M36" i="3" s="1"/>
  <c r="O160" i="3"/>
  <c r="M161" i="3" s="1"/>
  <c r="K162" i="3"/>
  <c r="N161" i="3"/>
  <c r="K144" i="3"/>
  <c r="K145" i="3" s="1"/>
  <c r="K146" i="3" s="1"/>
  <c r="N143" i="3"/>
  <c r="O71" i="3"/>
  <c r="M72" i="3" s="1"/>
  <c r="K126" i="3"/>
  <c r="N125" i="3"/>
  <c r="K75" i="3"/>
  <c r="K76" i="3" s="1"/>
  <c r="K77" i="3" s="1"/>
  <c r="N74" i="3"/>
  <c r="K39" i="3"/>
  <c r="K40" i="3" s="1"/>
  <c r="K41" i="3" s="1"/>
  <c r="N38" i="3"/>
  <c r="N144" i="3"/>
  <c r="N163" i="3"/>
  <c r="N145" i="3"/>
  <c r="N127" i="3"/>
  <c r="N51" i="3"/>
  <c r="O51" i="3" s="1"/>
  <c r="M52" i="3" s="1"/>
  <c r="K52" i="3"/>
  <c r="N177" i="3"/>
  <c r="O177" i="3" s="1"/>
  <c r="M178" i="3" s="1"/>
  <c r="K178" i="3"/>
  <c r="K87" i="3"/>
  <c r="N86" i="3"/>
  <c r="O86" i="3" s="1"/>
  <c r="M87" i="3" s="1"/>
  <c r="K15" i="3"/>
  <c r="N14" i="3"/>
  <c r="O14" i="3" s="1"/>
  <c r="M15" i="3" s="1"/>
  <c r="K105" i="3"/>
  <c r="N104" i="3"/>
  <c r="O104" i="3" s="1"/>
  <c r="M105" i="3" s="1"/>
  <c r="K196" i="3"/>
  <c r="N195" i="3"/>
  <c r="O195" i="3" s="1"/>
  <c r="M196" i="3" s="1"/>
  <c r="O72" i="3" l="1"/>
  <c r="M73" i="3" s="1"/>
  <c r="O73" i="3" s="1"/>
  <c r="M74" i="3" s="1"/>
  <c r="O125" i="3"/>
  <c r="M126" i="3" s="1"/>
  <c r="O36" i="3"/>
  <c r="M37" i="3" s="1"/>
  <c r="O37" i="3" s="1"/>
  <c r="M38" i="3" s="1"/>
  <c r="K127" i="3"/>
  <c r="K128" i="3" s="1"/>
  <c r="N126" i="3"/>
  <c r="K163" i="3"/>
  <c r="K164" i="3" s="1"/>
  <c r="K165" i="3" s="1"/>
  <c r="K166" i="3" s="1"/>
  <c r="K167" i="3" s="1"/>
  <c r="N162" i="3"/>
  <c r="O126" i="3"/>
  <c r="M127" i="3" s="1"/>
  <c r="O127" i="3" s="1"/>
  <c r="M128" i="3" s="1"/>
  <c r="O74" i="3"/>
  <c r="M75" i="3" s="1"/>
  <c r="O75" i="3" s="1"/>
  <c r="M76" i="3" s="1"/>
  <c r="O76" i="3" s="1"/>
  <c r="M77" i="3" s="1"/>
  <c r="O77" i="3" s="1"/>
  <c r="J45" i="1" s="1"/>
  <c r="K45" i="1" s="1"/>
  <c r="O143" i="3"/>
  <c r="M144" i="3" s="1"/>
  <c r="O144" i="3" s="1"/>
  <c r="M145" i="3" s="1"/>
  <c r="O145" i="3" s="1"/>
  <c r="M146" i="3" s="1"/>
  <c r="O38" i="3"/>
  <c r="M39" i="3" s="1"/>
  <c r="O39" i="3" s="1"/>
  <c r="M40" i="3" s="1"/>
  <c r="O40" i="3" s="1"/>
  <c r="M41" i="3" s="1"/>
  <c r="O41" i="3" s="1"/>
  <c r="J43" i="1" s="1"/>
  <c r="K43" i="1" s="1"/>
  <c r="O161" i="3"/>
  <c r="M162" i="3" s="1"/>
  <c r="K129" i="3"/>
  <c r="K130" i="3" s="1"/>
  <c r="K131" i="3" s="1"/>
  <c r="N128" i="3"/>
  <c r="K147" i="3"/>
  <c r="K148" i="3" s="1"/>
  <c r="K149" i="3" s="1"/>
  <c r="N146" i="3"/>
  <c r="N164" i="3"/>
  <c r="K53" i="3"/>
  <c r="N52" i="3"/>
  <c r="O52" i="3" s="1"/>
  <c r="M53" i="3" s="1"/>
  <c r="K197" i="3"/>
  <c r="N196" i="3"/>
  <c r="O196" i="3" s="1"/>
  <c r="M197" i="3" s="1"/>
  <c r="K179" i="3"/>
  <c r="N178" i="3"/>
  <c r="O178" i="3" s="1"/>
  <c r="M179" i="3" s="1"/>
  <c r="N15" i="3"/>
  <c r="O15" i="3" s="1"/>
  <c r="M16" i="3" s="1"/>
  <c r="K16" i="3"/>
  <c r="K88" i="3"/>
  <c r="N87" i="3"/>
  <c r="O87" i="3" s="1"/>
  <c r="M88" i="3" s="1"/>
  <c r="N105" i="3"/>
  <c r="O105" i="3" s="1"/>
  <c r="M106" i="3" s="1"/>
  <c r="K106" i="3"/>
  <c r="L45" i="1" l="1"/>
  <c r="O162" i="3"/>
  <c r="M163" i="3" s="1"/>
  <c r="O163" i="3" s="1"/>
  <c r="M164" i="3" s="1"/>
  <c r="O164" i="3" s="1"/>
  <c r="M165" i="3" s="1"/>
  <c r="O165" i="3" s="1"/>
  <c r="M166" i="3" s="1"/>
  <c r="O166" i="3" s="1"/>
  <c r="M167" i="3" s="1"/>
  <c r="O167" i="3" s="1"/>
  <c r="J50" i="1" s="1"/>
  <c r="L50" i="1" s="1"/>
  <c r="L43" i="1"/>
  <c r="K54" i="3"/>
  <c r="K55" i="3" s="1"/>
  <c r="K56" i="3" s="1"/>
  <c r="N53" i="3"/>
  <c r="O53" i="3" s="1"/>
  <c r="M54" i="3" s="1"/>
  <c r="K180" i="3"/>
  <c r="N179" i="3"/>
  <c r="O179" i="3" s="1"/>
  <c r="M180" i="3" s="1"/>
  <c r="K198" i="3"/>
  <c r="N197" i="3"/>
  <c r="O197" i="3" s="1"/>
  <c r="M198" i="3" s="1"/>
  <c r="O128" i="3"/>
  <c r="M129" i="3" s="1"/>
  <c r="O129" i="3" s="1"/>
  <c r="M130" i="3" s="1"/>
  <c r="O130" i="3" s="1"/>
  <c r="M131" i="3" s="1"/>
  <c r="O131" i="3" s="1"/>
  <c r="J48" i="1" s="1"/>
  <c r="N54" i="3"/>
  <c r="O146" i="3"/>
  <c r="M147" i="3" s="1"/>
  <c r="O147" i="3" s="1"/>
  <c r="M148" i="3" s="1"/>
  <c r="O148" i="3" s="1"/>
  <c r="M149" i="3" s="1"/>
  <c r="O149" i="3" s="1"/>
  <c r="J49" i="1" s="1"/>
  <c r="N199" i="3"/>
  <c r="N55" i="3"/>
  <c r="K17" i="3"/>
  <c r="N16" i="3"/>
  <c r="O16" i="3" s="1"/>
  <c r="M17" i="3" s="1"/>
  <c r="N181" i="3"/>
  <c r="K107" i="3"/>
  <c r="N106" i="3"/>
  <c r="O106" i="3" s="1"/>
  <c r="M107" i="3" s="1"/>
  <c r="K89" i="3"/>
  <c r="N88" i="3"/>
  <c r="O88" i="3" s="1"/>
  <c r="M89" i="3" s="1"/>
  <c r="K181" i="3" l="1"/>
  <c r="K182" i="3" s="1"/>
  <c r="K183" i="3" s="1"/>
  <c r="K184" i="3" s="1"/>
  <c r="K185" i="3" s="1"/>
  <c r="N180" i="3"/>
  <c r="O180" i="3" s="1"/>
  <c r="M181" i="3" s="1"/>
  <c r="O181" i="3" s="1"/>
  <c r="M182" i="3" s="1"/>
  <c r="K199" i="3"/>
  <c r="K200" i="3" s="1"/>
  <c r="K201" i="3" s="1"/>
  <c r="K202" i="3" s="1"/>
  <c r="K203" i="3" s="1"/>
  <c r="N198" i="3"/>
  <c r="O198" i="3" s="1"/>
  <c r="M199" i="3" s="1"/>
  <c r="O199" i="3" s="1"/>
  <c r="M200" i="3" s="1"/>
  <c r="K50" i="1"/>
  <c r="K108" i="3"/>
  <c r="N107" i="3"/>
  <c r="O107" i="3" s="1"/>
  <c r="M108" i="3" s="1"/>
  <c r="O54" i="3"/>
  <c r="M55" i="3" s="1"/>
  <c r="O55" i="3" s="1"/>
  <c r="M56" i="3" s="1"/>
  <c r="K90" i="3"/>
  <c r="N89" i="3"/>
  <c r="O89" i="3" s="1"/>
  <c r="M90" i="3" s="1"/>
  <c r="K18" i="3"/>
  <c r="N17" i="3"/>
  <c r="O17" i="3" s="1"/>
  <c r="M18" i="3" s="1"/>
  <c r="K57" i="3"/>
  <c r="K58" i="3" s="1"/>
  <c r="K59" i="3" s="1"/>
  <c r="N56" i="3"/>
  <c r="L49" i="1"/>
  <c r="K49" i="1"/>
  <c r="N200" i="3"/>
  <c r="N182" i="3"/>
  <c r="L48" i="1"/>
  <c r="K48" i="1"/>
  <c r="N109" i="3"/>
  <c r="N19" i="3"/>
  <c r="N91" i="3"/>
  <c r="O200" i="3" l="1"/>
  <c r="M201" i="3" s="1"/>
  <c r="O201" i="3" s="1"/>
  <c r="M202" i="3" s="1"/>
  <c r="O202" i="3" s="1"/>
  <c r="M203" i="3" s="1"/>
  <c r="O203" i="3" s="1"/>
  <c r="J52" i="1" s="1"/>
  <c r="K109" i="3"/>
  <c r="K110" i="3" s="1"/>
  <c r="N108" i="3"/>
  <c r="O108" i="3"/>
  <c r="M109" i="3" s="1"/>
  <c r="O56" i="3"/>
  <c r="M57" i="3" s="1"/>
  <c r="O57" i="3" s="1"/>
  <c r="M58" i="3" s="1"/>
  <c r="O58" i="3" s="1"/>
  <c r="M59" i="3" s="1"/>
  <c r="O59" i="3" s="1"/>
  <c r="J44" i="1" s="1"/>
  <c r="K44" i="1" s="1"/>
  <c r="O182" i="3"/>
  <c r="M183" i="3" s="1"/>
  <c r="O183" i="3" s="1"/>
  <c r="M184" i="3" s="1"/>
  <c r="O184" i="3" s="1"/>
  <c r="M185" i="3" s="1"/>
  <c r="O185" i="3" s="1"/>
  <c r="J51" i="1" s="1"/>
  <c r="K51" i="1" s="1"/>
  <c r="O109" i="3"/>
  <c r="M110" i="3" s="1"/>
  <c r="N90" i="3"/>
  <c r="O90" i="3" s="1"/>
  <c r="M91" i="3" s="1"/>
  <c r="O91" i="3" s="1"/>
  <c r="M92" i="3" s="1"/>
  <c r="K91" i="3"/>
  <c r="K92" i="3" s="1"/>
  <c r="K93" i="3" s="1"/>
  <c r="K94" i="3" s="1"/>
  <c r="K95" i="3" s="1"/>
  <c r="N18" i="3"/>
  <c r="O18" i="3" s="1"/>
  <c r="M19" i="3" s="1"/>
  <c r="O19" i="3" s="1"/>
  <c r="M20" i="3" s="1"/>
  <c r="K19" i="3"/>
  <c r="K20" i="3" s="1"/>
  <c r="K21" i="3" s="1"/>
  <c r="K22" i="3" s="1"/>
  <c r="K23" i="3" s="1"/>
  <c r="K52" i="1"/>
  <c r="L52" i="1"/>
  <c r="K111" i="3"/>
  <c r="K112" i="3" s="1"/>
  <c r="K113" i="3" s="1"/>
  <c r="N110" i="3"/>
  <c r="N92" i="3"/>
  <c r="N20" i="3"/>
  <c r="O110" i="3" l="1"/>
  <c r="M111" i="3" s="1"/>
  <c r="O111" i="3" s="1"/>
  <c r="M112" i="3" s="1"/>
  <c r="O112" i="3" s="1"/>
  <c r="M113" i="3" s="1"/>
  <c r="O113" i="3" s="1"/>
  <c r="J47" i="1" s="1"/>
  <c r="L44" i="1"/>
  <c r="L51" i="1"/>
  <c r="O92" i="3"/>
  <c r="M93" i="3" s="1"/>
  <c r="O93" i="3" s="1"/>
  <c r="M94" i="3" s="1"/>
  <c r="O94" i="3" s="1"/>
  <c r="M95" i="3" s="1"/>
  <c r="O95" i="3" s="1"/>
  <c r="J46" i="1" s="1"/>
  <c r="K46" i="1" s="1"/>
  <c r="O20" i="3"/>
  <c r="M21" i="3" s="1"/>
  <c r="O21" i="3" s="1"/>
  <c r="M22" i="3" s="1"/>
  <c r="O22" i="3" s="1"/>
  <c r="M23" i="3" s="1"/>
  <c r="O23" i="3" s="1"/>
  <c r="J42" i="1" s="1"/>
  <c r="K42" i="1" s="1"/>
  <c r="L47" i="1"/>
  <c r="K47" i="1"/>
  <c r="L46" i="1" l="1"/>
  <c r="C31" i="1"/>
  <c r="L42" i="1"/>
  <c r="C32" i="1" s="1"/>
  <c r="C33" i="1" s="1"/>
</calcChain>
</file>

<file path=xl/sharedStrings.xml><?xml version="1.0" encoding="utf-8"?>
<sst xmlns="http://schemas.openxmlformats.org/spreadsheetml/2006/main" count="340" uniqueCount="121">
  <si>
    <t>RSA encryption, step by step</t>
  </si>
  <si>
    <t>Edit the three amber cells. All calculations use ordinary formulas, with no macros.</t>
  </si>
  <si>
    <t>Prime p</t>
  </si>
  <si>
    <t>Choose two different primes below 100.</t>
  </si>
  <si>
    <t>Prime q</t>
  </si>
  <si>
    <t>Their product n must exceed every message byte.</t>
  </si>
  <si>
    <t>Message</t>
  </si>
  <si>
    <t>Up to 16 printable ASCII characters (space through ~). No accents or emoji.</t>
  </si>
  <si>
    <t>Primes valid?</t>
  </si>
  <si>
    <t>Both inputs must be distinct primes from the dropdown.</t>
  </si>
  <si>
    <t>Message valid?</t>
  </si>
  <si>
    <t>Input status</t>
  </si>
  <si>
    <t>If n is too small, the byte cannot be recovered uniquely.</t>
  </si>
  <si>
    <t>1. Make the keys</t>
  </si>
  <si>
    <t>Calculated value</t>
  </si>
  <si>
    <t>Modulus n</t>
  </si>
  <si>
    <t>n = p × q. MOD(x, n) means the remainder after dividing x by n.</t>
  </si>
  <si>
    <t>Totient φ(n)</t>
  </si>
  <si>
    <t>φ(n) = (p − 1) × (q − 1), because p and q are distinct primes.</t>
  </si>
  <si>
    <t>Public exponent e</t>
  </si>
  <si>
    <t>Private exponent d</t>
  </si>
  <si>
    <t>e × d</t>
  </si>
  <si>
    <t>The exponents multiply to one more than a multiple of φ.</t>
  </si>
  <si>
    <t>MOD(e × d, φ)</t>
  </si>
  <si>
    <t>This must equal 1: d is the modular inverse of e.</t>
  </si>
  <si>
    <t>Public key (e, n)</t>
  </si>
  <si>
    <t>Share this pair. Encrypt each byte m as c = m^e mod n.</t>
  </si>
  <si>
    <t>Private key (d, n)</t>
  </si>
  <si>
    <t>Keep d secret in real use. Decrypt as m = c^d mod n.</t>
  </si>
  <si>
    <t>2. Message results</t>
  </si>
  <si>
    <t>Original bytes (hex)</t>
  </si>
  <si>
    <t>Encrypted bytes (hex)</t>
  </si>
  <si>
    <t>Decrypted bytes (hex)</t>
  </si>
  <si>
    <t>Decrypted message</t>
  </si>
  <si>
    <t>Exact match?</t>
  </si>
  <si>
    <t>Hex uses two digits per byte. Each encrypted block below is two bytes, high byte first (big-endian).</t>
  </si>
  <si>
    <t>Two-byte storage is fixed for clarity, even when one byte would be enough. A blank row is not a zero byte.</t>
  </si>
  <si>
    <t>Position</t>
  </si>
  <si>
    <t>Character</t>
  </si>
  <si>
    <t>Byte m</t>
  </si>
  <si>
    <t>m hex</t>
  </si>
  <si>
    <t>High byte</t>
  </si>
  <si>
    <t>Low byte</t>
  </si>
  <si>
    <t>c bytes hex</t>
  </si>
  <si>
    <t>3. Follow the arithmetic</t>
  </si>
  <si>
    <t>Key steps shows candidate exponents and how d is found. Power steps shows every modular multiplication.</t>
  </si>
  <si>
    <t>Why the reverse operation works</t>
  </si>
  <si>
    <t>Since e × d = 1 + k × φ(n), applying both exponents returns m modulo each prime, and therefore modulo n.</t>
  </si>
  <si>
    <t>Fermat gives m^(p−1) = 1 mod p when p does not divide m. When p divides m, m^(ed) and m are both 0 mod p.</t>
  </si>
  <si>
    <t>The same argument holds for q. The two remainders uniquely identify the original byte when 0 ≤ m &lt; n.</t>
  </si>
  <si>
    <t>What this example represents</t>
  </si>
  <si>
    <t>This is textbook RSA, one character per block. Equal characters give equal ciphertext. It is not secure encryption.</t>
  </si>
  <si>
    <t>Real RSA uses much larger primes and secure padding, and commonly protects a symmetric encryption key.</t>
  </si>
  <si>
    <t>Hex is only a way to display numbers. It does not encrypt anything. ASCII bytes are also the UTF-8 bytes for this input range.</t>
  </si>
  <si>
    <t>A space is byte 20 in hex (32 in decimal). It appears blank in the Character columns but is still encrypted.</t>
  </si>
  <si>
    <t>Click any calculated cell to inspect its Excel formula. These small integers stay exact throughout the calculation.</t>
  </si>
  <si>
    <t>How the exponents are selected</t>
  </si>
  <si>
    <t>Left: test e = 2 to 99. GCD is the greatest common divisor. A value of 1 means the numbers are coprime.</t>
  </si>
  <si>
    <t>Right: test k = 0 to 98 in d = (1 + k × φ) / e. Exactly one k below e makes d an integer.</t>
  </si>
  <si>
    <t>The minimum valid e is selected. The search includes a solution for every pair of distinct primes below 100.</t>
  </si>
  <si>
    <t>Candidate e</t>
  </si>
  <si>
    <t>GCD(e, φ)</t>
  </si>
  <si>
    <t>Usable?</t>
  </si>
  <si>
    <t>Valid e</t>
  </si>
  <si>
    <t>Candidate k</t>
  </si>
  <si>
    <t>1 + k × φ</t>
  </si>
  <si>
    <t>÷ e</t>
  </si>
  <si>
    <t>Remainder ÷ e</t>
  </si>
  <si>
    <t>Integer d</t>
  </si>
  <si>
    <t>Primes &lt; 100</t>
  </si>
  <si>
    <t>Modular powers without enormous numbers</t>
  </si>
  <si>
    <t>Read one character block from top to bottom. Left encrypts with e. Right decrypts with d.</t>
  </si>
  <si>
    <t>Start with result 1. If the exponent is odd, multiply the result by the base and take MOD(..., n).</t>
  </si>
  <si>
    <t>Then halve the exponent (round down), square the base modulo n, and repeat. At exponent 0 the result stays unchanged.</t>
  </si>
  <si>
    <t>14 rows cover exponents below 16,384. All supported d values are smaller. The final result feeds the RSA tab.</t>
  </si>
  <si>
    <t>Character 1: encryption</t>
  </si>
  <si>
    <t>Character 1: decryption</t>
  </si>
  <si>
    <t>Step</t>
  </si>
  <si>
    <t>Exponent left</t>
  </si>
  <si>
    <t>Base mod n</t>
  </si>
  <si>
    <t>Odd?</t>
  </si>
  <si>
    <t>Result before</t>
  </si>
  <si>
    <t>Multiplier</t>
  </si>
  <si>
    <t>Result after</t>
  </si>
  <si>
    <t>Character 2: encryption</t>
  </si>
  <si>
    <t>Character 2: decryption</t>
  </si>
  <si>
    <t>Character 3: encryption</t>
  </si>
  <si>
    <t>Character 3: decryption</t>
  </si>
  <si>
    <t>Character 4: encryption</t>
  </si>
  <si>
    <t>Character 4: decryption</t>
  </si>
  <si>
    <t>Character 5: encryption</t>
  </si>
  <si>
    <t>Character 5: decryption</t>
  </si>
  <si>
    <t>Character 6: encryption</t>
  </si>
  <si>
    <t>Character 6: decryption</t>
  </si>
  <si>
    <t>Character 7: encryption</t>
  </si>
  <si>
    <t>Character 7: decryption</t>
  </si>
  <si>
    <t>Character 8: encryption</t>
  </si>
  <si>
    <t>Character 8: decryption</t>
  </si>
  <si>
    <t>Character 9: encryption</t>
  </si>
  <si>
    <t>Character 9: decryption</t>
  </si>
  <si>
    <t>Character 10: encryption</t>
  </si>
  <si>
    <t>Character 10: decryption</t>
  </si>
  <si>
    <t>Character 11: encryption</t>
  </si>
  <si>
    <t>Character 11: decryption</t>
  </si>
  <si>
    <t>Character 12: encryption</t>
  </si>
  <si>
    <t>Character 12: decryption</t>
  </si>
  <si>
    <t>Character 13: encryption</t>
  </si>
  <si>
    <t>Character 13: decryption</t>
  </si>
  <si>
    <t>Character 14: encryption</t>
  </si>
  <si>
    <t>Character 14: decryption</t>
  </si>
  <si>
    <t>Character 15: encryption</t>
  </si>
  <si>
    <t>Character 15: decryption</t>
  </si>
  <si>
    <t>Character 16: encryption</t>
  </si>
  <si>
    <t>Character 16: decryption</t>
  </si>
  <si>
    <r>
      <t xml:space="preserve">Choose the smallest e &gt; 1 with e &lt; n and GCD(e, φ) = 1. See </t>
    </r>
    <r>
      <rPr>
        <b/>
        <sz val="11"/>
        <color rgb="FF203047"/>
        <rFont val="Arial"/>
        <family val="2"/>
      </rPr>
      <t>"Key steps"</t>
    </r>
    <r>
      <rPr>
        <sz val="11"/>
        <color rgb="FF203047"/>
        <rFont val="Arial"/>
      </rPr>
      <t xml:space="preserve"> tab.</t>
    </r>
  </si>
  <si>
    <r>
      <t>Find d so e × d = 1 + k × φ. See the</t>
    </r>
    <r>
      <rPr>
        <b/>
        <sz val="11"/>
        <color rgb="FF203047"/>
        <rFont val="Arial"/>
        <family val="2"/>
      </rPr>
      <t xml:space="preserve"> "Key steps"</t>
    </r>
    <r>
      <rPr>
        <sz val="11"/>
        <color rgb="FF203047"/>
        <rFont val="Arial"/>
      </rPr>
      <t xml:space="preserve"> tab for the integer search.</t>
    </r>
  </si>
  <si>
    <t>Message encryption / decryption byte by byte</t>
  </si>
  <si>
    <r>
      <t xml:space="preserve">Cipher c
</t>
    </r>
    <r>
      <rPr>
        <b/>
        <i/>
        <sz val="11"/>
        <color rgb="FFFFFFFF"/>
        <rFont val="Arial"/>
        <family val="2"/>
      </rPr>
      <t>c = m^e mod n</t>
    </r>
  </si>
  <si>
    <r>
      <t xml:space="preserve">Recovered m
</t>
    </r>
    <r>
      <rPr>
        <b/>
        <i/>
        <sz val="11"/>
        <color rgb="FFFFFFFF"/>
        <rFont val="Arial"/>
        <family val="2"/>
      </rPr>
      <t>m = c^d mod n</t>
    </r>
  </si>
  <si>
    <t>Hello world!</t>
  </si>
  <si>
    <r>
      <t xml:space="preserve">The m^e and c^d part of the encrypt / decrypt calculation results in very large numbers that cannot be accurately represented in Excel, and so a "square and multiply" approach is used - see the </t>
    </r>
    <r>
      <rPr>
        <b/>
        <sz val="11"/>
        <color rgb="FF203047"/>
        <rFont val="Arial"/>
        <family val="2"/>
      </rPr>
      <t>"Power steps"</t>
    </r>
    <r>
      <rPr>
        <sz val="11"/>
        <color rgb="FF203047"/>
        <rFont val="Arial"/>
        <family val="2"/>
      </rPr>
      <t xml:space="preserve"> tab, and the "Power Steps explained" tab.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</si>
</sst>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>
    <font>
      <sz val="11"/>
      <name val="Carlito"/>
    </font>
    <font>
      <sz val="11"/>
      <color rgb="FF203047"/>
      <name val="Arial"/>
    </font>
    <font>
      <b/>
      <sz val="16"/>
      <color rgb="FF203047"/>
      <name val="Arial"/>
    </font>
    <font>
      <b/>
      <sz val="11"/>
      <color rgb="FFFFFFFF"/>
      <name val="Arial"/>
    </font>
    <font>
      <b/>
      <sz val="11"/>
      <color rgb="FF203047"/>
      <name val="Arial"/>
    </font>
    <font>
      <b/>
      <sz val="11"/>
      <color rgb="FF203047"/>
      <name val="Arial"/>
      <family val="2"/>
    </font>
    <font>
      <sz val="11"/>
      <color rgb="FF203047"/>
      <name val="Arial"/>
      <family val="2"/>
    </font>
    <font>
      <b/>
      <i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u/>
      <sz val="16"/>
      <color rgb="FF20304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0BD"/>
      </patternFill>
    </fill>
    <fill>
      <patternFill patternType="solid">
        <fgColor rgb="FF243C5A"/>
      </patternFill>
    </fill>
    <fill>
      <patternFill patternType="solid">
        <fgColor rgb="FFF0F4F8"/>
      </patternFill>
    </fill>
    <fill>
      <patternFill patternType="solid">
        <fgColor rgb="FFE2EBF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49" fontId="1" fillId="8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0" borderId="0" xfId="0"/>
    <xf numFmtId="0" fontId="8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rgb="FFE2EBF4"/>
        </patternFill>
      </fill>
    </dxf>
    <dxf>
      <fill>
        <patternFill>
          <bgColor rgb="FFE2EBF4"/>
        </patternFill>
      </fill>
    </dxf>
    <dxf>
      <font>
        <color rgb="FFA32622"/>
      </font>
      <fill>
        <patternFill>
          <bgColor rgb="FFFCE1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0</xdr:row>
      <xdr:rowOff>161925</xdr:rowOff>
    </xdr:from>
    <xdr:to>
      <xdr:col>14</xdr:col>
      <xdr:colOff>200025</xdr:colOff>
      <xdr:row>89</xdr:row>
      <xdr:rowOff>47625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CC0FE79-3F95-E626-7D81-CCC2F3BBF505}"/>
                </a:ext>
              </a:extLst>
            </xdr:cNvPr>
            <xdr:cNvSpPr txBox="1"/>
          </xdr:nvSpPr>
          <xdr:spPr>
            <a:xfrm>
              <a:off x="676275" y="161925"/>
              <a:ext cx="9124950" cy="159924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/>
                <a:t>The Power Steps tab uses </a:t>
              </a:r>
              <a:r>
                <a:rPr lang="en-GB" b="1"/>
                <a:t>“square and multiply”</a:t>
              </a:r>
              <a:r>
                <a:rPr lang="en-GB"/>
                <a:t>. It calculates the same answer while taking remainders along the way, so the numbers never become enormous.</a:t>
              </a:r>
            </a:p>
            <a:p>
              <a:endParaRPr lang="en-GB"/>
            </a:p>
            <a:p>
              <a:r>
                <a:rPr lang="en-GB"/>
                <a:t>I’ll call the exponent </a:t>
              </a:r>
              <a:r>
                <a:rPr lang="en-GB" b="1"/>
                <a:t>a</a:t>
              </a:r>
              <a:r>
                <a:rPr lang="en-GB" b="0" baseline="0"/>
                <a:t> - w</a:t>
              </a:r>
              <a:r>
                <a:rPr lang="en-GB"/>
                <a:t>e want:</a:t>
              </a:r>
            </a:p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GB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</m:sup>
                    </m:sSup>
                    <m:r>
                      <m:rPr>
                        <m:nor/>
                      </m:rPr>
                      <a:rPr lang="en-GB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  </m:t>
                    </m:r>
                    <m:r>
                      <a:rPr lang="en-GB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𝑛</m:t>
                    </m:r>
                  </m:oMath>
                </m:oMathPara>
              </a14:m>
              <a:endParaRPr lang="en-GB" b="0"/>
            </a:p>
            <a:p>
              <a:r>
                <a:rPr lang="en-GB"/>
                <a:t>The trick rests on this rule:</a:t>
              </a:r>
            </a:p>
            <a:p>
              <a:r>
                <a:rPr lang="en-GB" b="1"/>
                <a:t>You can take the remainder after each multiplication without changing the final remainder.</a:t>
              </a:r>
              <a:endParaRPr lang="en-GB"/>
            </a:p>
            <a:p>
              <a:endParaRPr lang="en-GB"/>
            </a:p>
            <a:p>
              <a:r>
                <a:rPr lang="en-GB"/>
                <a:t>For example, modulo 7:</a:t>
              </a:r>
            </a:p>
            <a:p>
              <a:pPr lvl="0"/>
              <a:r>
                <a:rPr lang="en-GB"/>
                <a:t>Multiply first: </a:t>
              </a:r>
              <a14:m>
                <m:oMath xmlns:m="http://schemas.openxmlformats.org/officeDocument/2006/math">
                  <m:r>
                    <a:rPr lang="en-GB"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10</m:t>
                  </m:r>
                  <m:r>
                    <a:rPr lang="en-GB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×12=120</m:t>
                  </m:r>
                </m:oMath>
              </a14:m>
              <a:r>
                <a:rPr lang="en-GB"/>
                <a:t>, whose remainder is </a:t>
              </a:r>
              <a:r>
                <a:rPr lang="en-GB" b="1"/>
                <a:t>1</a:t>
              </a:r>
              <a:r>
                <a:rPr lang="en-GB"/>
                <a:t>. </a:t>
              </a:r>
            </a:p>
            <a:p>
              <a:pPr lvl="0"/>
              <a:r>
                <a:rPr lang="en-GB"/>
                <a:t>Reduce first: the remainders are 3 and 5. </a:t>
              </a:r>
              <a14:m>
                <m:oMath xmlns:m="http://schemas.openxmlformats.org/officeDocument/2006/math">
                  <m:r>
                    <a:rPr lang="en-GB"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3</m:t>
                  </m:r>
                  <m:r>
                    <a:rPr lang="en-GB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×5=15</m:t>
                  </m:r>
                </m:oMath>
              </a14:m>
              <a:r>
                <a:rPr lang="en-GB"/>
                <a:t>, whose remainder is also </a:t>
              </a:r>
              <a:r>
                <a:rPr lang="en-GB" b="1"/>
                <a:t>1</a:t>
              </a:r>
              <a:r>
                <a:rPr lang="en-GB"/>
                <a:t>. </a:t>
              </a:r>
            </a:p>
            <a:p>
              <a:r>
                <a:rPr lang="en-GB"/>
                <a:t>This lets us throw away multiples of the modulus throughout the calculation.</a:t>
              </a:r>
            </a:p>
            <a:p>
              <a:endParaRPr lang="en-GB" b="1"/>
            </a:p>
            <a:p>
              <a:r>
                <a:rPr lang="en-GB" b="1"/>
                <a:t>First, build powers by squaring</a:t>
              </a:r>
              <a:endParaRPr lang="en-GB"/>
            </a:p>
            <a:p>
              <a:r>
                <a:rPr lang="en-GB"/>
                <a:t>For your decryption, we want </a:t>
              </a:r>
              <a14:m>
                <m:oMath xmlns:m="http://schemas.openxmlformats.org/officeDocument/2006/math">
                  <m:sSup>
                    <m:sSupPr>
                      <m:ctrlPr>
                        <a:rPr lang="en-GB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GB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128</m:t>
                      </m:r>
                    </m:e>
                    <m:sup>
                      <m:r>
                        <a:rPr lang="en-GB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53</m:t>
                      </m:r>
                    </m:sup>
                  </m:sSup>
                  <m:r>
                    <m:rPr>
                      <m:nor/>
                    </m:rPr>
                    <a:rPr lang="en-GB" sz="1100" b="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  </m:t>
                  </m:r>
                  <m:r>
                    <a:rPr lang="en-GB" sz="1100" b="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299</m:t>
                  </m:r>
                </m:oMath>
              </a14:m>
              <a:r>
                <a:rPr lang="en-GB"/>
                <a:t>.</a:t>
              </a:r>
            </a:p>
            <a:p>
              <a:r>
                <a:rPr lang="en-GB"/>
                <a:t>Instead of building that huge number, square repeatedly, taking the remainder every time:</a:t>
              </a:r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r>
                <a:rPr lang="en-GB"/>
                <a:t>Each remainder represents the corresponding enormous power </a:t>
              </a:r>
              <a:r>
                <a:rPr lang="en-GB" b="1"/>
                <a:t>for the purpose of further calculations modulo 299</a:t>
              </a:r>
              <a:r>
                <a:rPr lang="en-GB"/>
                <a:t>.</a:t>
              </a:r>
            </a:p>
            <a:p>
              <a:endParaRPr lang="en-GB" b="1"/>
            </a:p>
            <a:p>
              <a:r>
                <a:rPr lang="en-GB" b="1"/>
                <a:t>Then multiply just the powers you need</a:t>
              </a:r>
              <a:endParaRPr lang="en-GB"/>
            </a:p>
            <a:p>
              <a:r>
                <a:rPr lang="en-GB"/>
                <a:t>We can break 53 into:</a:t>
              </a:r>
            </a:p>
            <a:p>
              <a14:m>
                <m:oMathPara xmlns:m="http://schemas.openxmlformats.org/officeDocument/2006/math">
                  <m:oMath>
                    <m:r>
                      <a:rPr lang="en-GB"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53</m:t>
                    </m:r>
                    <m:r>
                      <a:rPr lang="en-GB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=32+16+4+1</m:t>
                    </m:r>
                  </m:oMath>
                </m:oMathPara>
              </a14:m>
              <a:endParaRPr lang="en-GB"/>
            </a:p>
            <a:p>
              <a:r>
                <a:rPr lang="en-GB"/>
                <a:t>And multiplying powers adds their exponents:</a:t>
              </a:r>
            </a:p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GB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128</m:t>
                        </m:r>
                      </m:e>
                      <m:sup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53</m:t>
                        </m:r>
                      </m:sup>
                    </m:sSup>
                    <m:r>
                      <a:rPr lang="en-GB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128</m:t>
                        </m:r>
                      </m:e>
                      <m:sup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32</m:t>
                        </m:r>
                      </m:sup>
                    </m:sSup>
                    <m:r>
                      <a:rPr lang="en-GB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128</m:t>
                        </m:r>
                      </m:e>
                      <m:sup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16</m:t>
                        </m:r>
                      </m:sup>
                    </m:sSup>
                    <m:r>
                      <a:rPr lang="en-GB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128</m:t>
                        </m:r>
                      </m:e>
                      <m:sup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</m:sup>
                    </m:sSup>
                    <m:r>
                      <a:rPr lang="en-GB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128</m:t>
                        </m:r>
                      </m:e>
                      <m:sup>
                        <m:r>
                          <a:rPr lang="en-GB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en-GB"/>
            </a:p>
            <a:p>
              <a:endParaRPr lang="en-GB"/>
            </a:p>
            <a:p>
              <a:r>
                <a:rPr lang="en-GB"/>
                <a:t>So we multiply the corresponding remainders, reducing after each multiplication:</a:t>
              </a:r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r>
                <a:rPr lang="en-GB"/>
                <a:t>And </a:t>
              </a:r>
              <a:r>
                <a:rPr lang="en-GB" b="1"/>
                <a:t>72 is “H” again</a:t>
              </a:r>
              <a:r>
                <a:rPr lang="en-GB"/>
                <a:t>.</a:t>
              </a:r>
            </a:p>
            <a:p>
              <a:endParaRPr lang="en-GB" b="1"/>
            </a:p>
            <a:p>
              <a:r>
                <a:rPr lang="en-GB" b="1"/>
                <a:t>How the tab chooses those powers</a:t>
              </a:r>
              <a:endParaRPr lang="en-GB"/>
            </a:p>
            <a:p>
              <a:r>
                <a:rPr lang="en-GB"/>
                <a:t>The “Exponent left” column repeatedly halves the exponent, rounding down. An odd value means “include this power”:</a:t>
              </a:r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r>
                <a:rPr lang="en-GB"/>
                <a:t>That is effectively reading the exponent’s </a:t>
              </a:r>
              <a:r>
                <a:rPr lang="en-GB" b="1"/>
                <a:t>binary digits</a:t>
              </a:r>
              <a:r>
                <a:rPr lang="en-GB"/>
                <a:t>, starting at the right. The remaining spreadsheet rows simply retain the finished result.</a:t>
              </a:r>
            </a:p>
            <a:p>
              <a:r>
                <a:rPr lang="en-GB"/>
                <a:t>Your direct Excel calculation has a </a:t>
              </a:r>
              <a:r>
                <a:rPr lang="en-GB" b="1"/>
                <a:t>precision</a:t>
              </a:r>
              <a:r>
                <a:rPr lang="en-GB"/>
                <a:t> problem: </a:t>
              </a:r>
              <a:r>
                <a:rPr lang="en-GB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E+111</a:t>
              </a:r>
              <a:r>
                <a:rPr lang="en-GB"/>
                <a:t> itself is within Excel’s numerical range, but Excel only retains roughly 15 significant decimal digits. The low-order digits have already been lost—and those are essential to finding the exact remainder.</a:t>
              </a:r>
            </a:p>
            <a:p>
              <a:endParaRPr lang="en-GB"/>
            </a:p>
            <a:p>
              <a:r>
                <a:rPr lang="en-GB"/>
                <a:t>With this approach, both numbers in any multiplication are below 299. Their product is therefore at most </a:t>
              </a:r>
              <a14:m>
                <m:oMath xmlns:m="http://schemas.openxmlformats.org/officeDocument/2006/math">
                  <m:sSup>
                    <m:sSupPr>
                      <m:ctrlPr>
                        <a:rPr lang="en-GB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GB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298</m:t>
                      </m:r>
                    </m:e>
                    <m:sup>
                      <m:r>
                        <a:rPr lang="en-GB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  <m:r>
                    <a:rPr lang="en-GB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=88,804</m:t>
                  </m:r>
                </m:oMath>
              </a14:m>
              <a:r>
                <a:rPr lang="en-GB"/>
                <a:t>, which Excel can represent exactly.</a:t>
              </a:r>
            </a:p>
            <a:p>
              <a:endParaRPr lang="en-GB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CC0FE79-3F95-E626-7D81-CCC2F3BBF505}"/>
                </a:ext>
              </a:extLst>
            </xdr:cNvPr>
            <xdr:cNvSpPr txBox="1"/>
          </xdr:nvSpPr>
          <xdr:spPr>
            <a:xfrm>
              <a:off x="676275" y="161925"/>
              <a:ext cx="9124950" cy="159924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/>
                <a:t>The Power Steps tab uses </a:t>
              </a:r>
              <a:r>
                <a:rPr lang="en-GB" b="1"/>
                <a:t>“square and multiply”</a:t>
              </a:r>
              <a:r>
                <a:rPr lang="en-GB"/>
                <a:t>. It calculates the same answer while taking remainders along the way, so the numbers never become enormous.</a:t>
              </a:r>
            </a:p>
            <a:p>
              <a:endParaRPr lang="en-GB"/>
            </a:p>
            <a:p>
              <a:r>
                <a:rPr lang="en-GB"/>
                <a:t>I’ll call the exponent </a:t>
              </a:r>
              <a:r>
                <a:rPr lang="en-GB" b="1"/>
                <a:t>a</a:t>
              </a:r>
              <a:r>
                <a:rPr lang="en-GB" b="0" baseline="0"/>
                <a:t> - w</a:t>
              </a:r>
              <a:r>
                <a:rPr lang="en-GB"/>
                <a:t>e want:</a:t>
              </a:r>
            </a:p>
            <a:p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𝑚^𝑎</a:t>
              </a:r>
              <a:r>
                <a:rPr lang="en-GB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"  </a:t>
              </a:r>
              <a:r>
                <a:rPr lang="en-GB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𝑛</a:t>
              </a:r>
              <a:endParaRPr lang="en-GB" b="0"/>
            </a:p>
            <a:p>
              <a:r>
                <a:rPr lang="en-GB"/>
                <a:t>The trick rests on this rule:</a:t>
              </a:r>
            </a:p>
            <a:p>
              <a:r>
                <a:rPr lang="en-GB" b="1"/>
                <a:t>You can take the remainder after each multiplication without changing the final remainder.</a:t>
              </a:r>
              <a:endParaRPr lang="en-GB"/>
            </a:p>
            <a:p>
              <a:endParaRPr lang="en-GB"/>
            </a:p>
            <a:p>
              <a:r>
                <a:rPr lang="en-GB"/>
                <a:t>For example, modulo 7:</a:t>
              </a:r>
            </a:p>
            <a:p>
              <a:pPr lvl="0"/>
              <a:r>
                <a:rPr lang="en-GB"/>
                <a:t>Multiply first: </a:t>
              </a:r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10×12=120</a:t>
              </a:r>
              <a:r>
                <a:rPr lang="en-GB"/>
                <a:t>, whose remainder is </a:t>
              </a:r>
              <a:r>
                <a:rPr lang="en-GB" b="1"/>
                <a:t>1</a:t>
              </a:r>
              <a:r>
                <a:rPr lang="en-GB"/>
                <a:t>. </a:t>
              </a:r>
            </a:p>
            <a:p>
              <a:pPr lvl="0"/>
              <a:r>
                <a:rPr lang="en-GB"/>
                <a:t>Reduce first: the remainders are 3 and 5. </a:t>
              </a:r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3×5=15</a:t>
              </a:r>
              <a:r>
                <a:rPr lang="en-GB"/>
                <a:t>, whose remainder is also </a:t>
              </a:r>
              <a:r>
                <a:rPr lang="en-GB" b="1"/>
                <a:t>1</a:t>
              </a:r>
              <a:r>
                <a:rPr lang="en-GB"/>
                <a:t>. </a:t>
              </a:r>
            </a:p>
            <a:p>
              <a:r>
                <a:rPr lang="en-GB"/>
                <a:t>This lets us throw away multiples of the modulus throughout the calculation.</a:t>
              </a:r>
            </a:p>
            <a:p>
              <a:endParaRPr lang="en-GB" b="1"/>
            </a:p>
            <a:p>
              <a:r>
                <a:rPr lang="en-GB" b="1"/>
                <a:t>First, build powers by squaring</a:t>
              </a:r>
              <a:endParaRPr lang="en-GB"/>
            </a:p>
            <a:p>
              <a:r>
                <a:rPr lang="en-GB"/>
                <a:t>For your decryption, we want </a:t>
              </a:r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128^53</a:t>
              </a:r>
              <a:r>
                <a:rPr lang="en-GB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"  </a:t>
              </a:r>
              <a:r>
                <a:rPr lang="en-GB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299</a:t>
              </a:r>
              <a:r>
                <a:rPr lang="en-GB"/>
                <a:t>.</a:t>
              </a:r>
            </a:p>
            <a:p>
              <a:r>
                <a:rPr lang="en-GB"/>
                <a:t>Instead of building that huge number, square repeatedly, taking the remainder every time:</a:t>
              </a:r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r>
                <a:rPr lang="en-GB"/>
                <a:t>Each remainder represents the corresponding enormous power </a:t>
              </a:r>
              <a:r>
                <a:rPr lang="en-GB" b="1"/>
                <a:t>for the purpose of further calculations modulo 299</a:t>
              </a:r>
              <a:r>
                <a:rPr lang="en-GB"/>
                <a:t>.</a:t>
              </a:r>
            </a:p>
            <a:p>
              <a:endParaRPr lang="en-GB" b="1"/>
            </a:p>
            <a:p>
              <a:r>
                <a:rPr lang="en-GB" b="1"/>
                <a:t>Then multiply just the powers you need</a:t>
              </a:r>
              <a:endParaRPr lang="en-GB"/>
            </a:p>
            <a:p>
              <a:r>
                <a:rPr lang="en-GB"/>
                <a:t>We can break 53 into:</a:t>
              </a:r>
            </a:p>
            <a:p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53=32+16+4+1</a:t>
              </a:r>
              <a:endParaRPr lang="en-GB"/>
            </a:p>
            <a:p>
              <a:r>
                <a:rPr lang="en-GB"/>
                <a:t>And multiplying powers adds their exponents:</a:t>
              </a:r>
            </a:p>
            <a:p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128^53=128^32×128^16×128^4×128^1</a:t>
              </a:r>
              <a:endParaRPr lang="en-GB"/>
            </a:p>
            <a:p>
              <a:endParaRPr lang="en-GB"/>
            </a:p>
            <a:p>
              <a:r>
                <a:rPr lang="en-GB"/>
                <a:t>So we multiply the corresponding remainders, reducing after each multiplication:</a:t>
              </a:r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r>
                <a:rPr lang="en-GB"/>
                <a:t>And </a:t>
              </a:r>
              <a:r>
                <a:rPr lang="en-GB" b="1"/>
                <a:t>72 is “H” again</a:t>
              </a:r>
              <a:r>
                <a:rPr lang="en-GB"/>
                <a:t>.</a:t>
              </a:r>
            </a:p>
            <a:p>
              <a:endParaRPr lang="en-GB" b="1"/>
            </a:p>
            <a:p>
              <a:r>
                <a:rPr lang="en-GB" b="1"/>
                <a:t>How the tab chooses those powers</a:t>
              </a:r>
              <a:endParaRPr lang="en-GB"/>
            </a:p>
            <a:p>
              <a:r>
                <a:rPr lang="en-GB"/>
                <a:t>The “Exponent left” column repeatedly halves the exponent, rounding down. An odd value means “include this power”:</a:t>
              </a:r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endParaRPr lang="en-GB"/>
            </a:p>
            <a:p>
              <a:r>
                <a:rPr lang="en-GB"/>
                <a:t>That is effectively reading the exponent’s </a:t>
              </a:r>
              <a:r>
                <a:rPr lang="en-GB" b="1"/>
                <a:t>binary digits</a:t>
              </a:r>
              <a:r>
                <a:rPr lang="en-GB"/>
                <a:t>, starting at the right. The remaining spreadsheet rows simply retain the finished result.</a:t>
              </a:r>
            </a:p>
            <a:p>
              <a:r>
                <a:rPr lang="en-GB"/>
                <a:t>Your direct Excel calculation has a </a:t>
              </a:r>
              <a:r>
                <a:rPr lang="en-GB" b="1"/>
                <a:t>precision</a:t>
              </a:r>
              <a:r>
                <a:rPr lang="en-GB"/>
                <a:t> problem: </a:t>
              </a:r>
              <a:r>
                <a:rPr lang="en-GB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E+111</a:t>
              </a:r>
              <a:r>
                <a:rPr lang="en-GB"/>
                <a:t> itself is within Excel’s numerical range, but Excel only retains roughly 15 significant decimal digits. The low-order digits have already been lost—and those are essential to finding the exact remainder.</a:t>
              </a:r>
            </a:p>
            <a:p>
              <a:endParaRPr lang="en-GB"/>
            </a:p>
            <a:p>
              <a:r>
                <a:rPr lang="en-GB"/>
                <a:t>With this approach, both numbers in any multiplication are below 299. Their product is therefore at most </a:t>
              </a:r>
              <a:r>
                <a:rPr lang="en-GB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298^2=88,804</a:t>
              </a:r>
              <a:r>
                <a:rPr lang="en-GB"/>
                <a:t>, which Excel can represent exactly.</a:t>
              </a:r>
            </a:p>
            <a:p>
              <a:endParaRPr lang="en-GB" sz="1100"/>
            </a:p>
          </xdr:txBody>
        </xdr:sp>
      </mc:Fallback>
    </mc:AlternateContent>
    <xdr:clientData/>
  </xdr:twoCellAnchor>
  <xdr:twoCellAnchor editAs="oneCell">
    <xdr:from>
      <xdr:col>1</xdr:col>
      <xdr:colOff>104775</xdr:colOff>
      <xdr:row>16</xdr:row>
      <xdr:rowOff>161925</xdr:rowOff>
    </xdr:from>
    <xdr:to>
      <xdr:col>10</xdr:col>
      <xdr:colOff>515269</xdr:colOff>
      <xdr:row>33</xdr:row>
      <xdr:rowOff>152828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D1E98A-3761-6810-8A08-1C6F56A87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3057525"/>
          <a:ext cx="6582694" cy="306747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44</xdr:row>
      <xdr:rowOff>57150</xdr:rowOff>
    </xdr:from>
    <xdr:to>
      <xdr:col>10</xdr:col>
      <xdr:colOff>458107</xdr:colOff>
      <xdr:row>56</xdr:row>
      <xdr:rowOff>66979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AA8EEE-3183-266B-4A17-DEB83EF92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8020050"/>
          <a:ext cx="6496957" cy="218152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61</xdr:row>
      <xdr:rowOff>9525</xdr:rowOff>
    </xdr:from>
    <xdr:to>
      <xdr:col>10</xdr:col>
      <xdr:colOff>667703</xdr:colOff>
      <xdr:row>79</xdr:row>
      <xdr:rowOff>162401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65D78D-7381-BE86-FD29-CE98B0B6C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1049000"/>
          <a:ext cx="6830378" cy="3410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C5A"/>
  </sheetPr>
  <dimension ref="B1:O76"/>
  <sheetViews>
    <sheetView showGridLines="0" tabSelected="1" workbookViewId="0">
      <selection activeCell="K9" sqref="K9"/>
    </sheetView>
  </sheetViews>
  <sheetFormatPr defaultRowHeight="14.25"/>
  <cols>
    <col min="1" max="1" width="3.875" customWidth="1"/>
    <col min="2" max="2" width="25" customWidth="1"/>
    <col min="3" max="3" width="26" customWidth="1"/>
    <col min="4" max="5" width="12" customWidth="1"/>
    <col min="6" max="6" width="16.875" customWidth="1"/>
    <col min="7" max="9" width="12" customWidth="1"/>
    <col min="10" max="10" width="18" customWidth="1"/>
    <col min="11" max="12" width="12" customWidth="1"/>
    <col min="14" max="14" width="16.75" customWidth="1"/>
    <col min="15" max="15" width="16.375" customWidth="1"/>
    <col min="17" max="17" width="17" customWidth="1"/>
  </cols>
  <sheetData>
    <row r="1" spans="2:12" ht="21.9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21.95" customHeight="1">
      <c r="B2" s="26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21.95" customHeight="1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21.9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ht="21.95" customHeight="1">
      <c r="B5" s="1" t="s">
        <v>2</v>
      </c>
      <c r="C5" s="3">
        <v>13</v>
      </c>
      <c r="D5" s="1"/>
      <c r="E5" s="1" t="s">
        <v>3</v>
      </c>
      <c r="F5" s="1"/>
      <c r="G5" s="1"/>
      <c r="H5" s="1"/>
      <c r="I5" s="1"/>
      <c r="J5" s="1"/>
      <c r="K5" s="1"/>
      <c r="L5" s="1"/>
    </row>
    <row r="6" spans="2:12" ht="21.95" customHeight="1">
      <c r="B6" s="1" t="s">
        <v>4</v>
      </c>
      <c r="C6" s="3">
        <v>41</v>
      </c>
      <c r="D6" s="1"/>
      <c r="E6" s="1" t="s">
        <v>5</v>
      </c>
      <c r="F6" s="1"/>
      <c r="G6" s="1"/>
      <c r="H6" s="1"/>
      <c r="I6" s="1"/>
      <c r="J6" s="1"/>
      <c r="K6" s="1"/>
      <c r="L6" s="1"/>
    </row>
    <row r="7" spans="2:12" ht="21.95" customHeight="1">
      <c r="B7" s="1" t="s">
        <v>6</v>
      </c>
      <c r="C7" s="25" t="s">
        <v>119</v>
      </c>
      <c r="D7" s="1"/>
      <c r="E7" s="1" t="s">
        <v>7</v>
      </c>
      <c r="F7" s="1"/>
      <c r="G7" s="1"/>
      <c r="H7" s="1"/>
      <c r="I7" s="1"/>
      <c r="J7" s="1"/>
      <c r="K7" s="1"/>
      <c r="L7" s="1"/>
    </row>
    <row r="8" spans="2:12" ht="21.9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ht="21.9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21.95" customHeight="1">
      <c r="B10" s="1" t="s">
        <v>8</v>
      </c>
      <c r="C10" s="1" t="b">
        <f>AND(COUNTIFS('Key steps'!$N$9:$N$33,C5)=1,COUNTIFS('Key steps'!$N$9:$N$33,C6)=1,C5&lt;&gt;C6)</f>
        <v>1</v>
      </c>
      <c r="D10" s="1"/>
      <c r="E10" s="1" t="s">
        <v>9</v>
      </c>
      <c r="F10" s="1"/>
      <c r="G10" s="1"/>
      <c r="H10" s="1"/>
      <c r="I10" s="1"/>
      <c r="J10" s="1"/>
      <c r="K10" s="1"/>
      <c r="L10" s="1"/>
    </row>
    <row r="11" spans="2:12" ht="21.95" customHeight="1">
      <c r="B11" s="1" t="s">
        <v>10</v>
      </c>
      <c r="C11" s="1" t="b">
        <f>AND(LEN(C7)&gt;=1,LEN(C7)&lt;=16,MIN(D42:D57)&gt;=32,MAX(D42:D57)&lt;=126)</f>
        <v>1</v>
      </c>
      <c r="D11" s="1"/>
      <c r="E11" s="1"/>
      <c r="F11" s="1"/>
      <c r="G11" s="1"/>
      <c r="H11" s="1"/>
      <c r="I11" s="1"/>
      <c r="J11" s="1"/>
      <c r="K11" s="1"/>
      <c r="L11" s="1"/>
    </row>
    <row r="12" spans="2:12" ht="21.95" customHeight="1">
      <c r="B12" s="1" t="s">
        <v>11</v>
      </c>
      <c r="C12" s="1" t="str">
        <f>IF(NOT(C10),"Choose distinct primes",IF(NOT(C11),"Use 1–16 ASCII chars",IF(C16&lt;=MAX(D42:D57),"Choose larger primes","Ready")))</f>
        <v>Ready</v>
      </c>
      <c r="D12" s="1"/>
      <c r="E12" s="1" t="s">
        <v>12</v>
      </c>
      <c r="F12" s="1"/>
      <c r="G12" s="1"/>
      <c r="H12" s="1"/>
      <c r="I12" s="1"/>
      <c r="J12" s="1"/>
      <c r="K12" s="1"/>
      <c r="L12" s="1"/>
    </row>
    <row r="13" spans="2:12" ht="21.9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21.9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32.1" customHeight="1">
      <c r="B15" s="4" t="s">
        <v>13</v>
      </c>
      <c r="C15" s="4" t="s">
        <v>14</v>
      </c>
      <c r="D15" s="4"/>
      <c r="E15" s="1"/>
      <c r="F15" s="1"/>
      <c r="G15" s="1"/>
      <c r="H15" s="1"/>
      <c r="I15" s="1"/>
      <c r="J15" s="1"/>
      <c r="K15" s="1"/>
      <c r="L15" s="1"/>
    </row>
    <row r="16" spans="2:12" ht="21.95" customHeight="1">
      <c r="B16" s="1" t="s">
        <v>15</v>
      </c>
      <c r="C16" s="16">
        <f>IF(C10,C5*C6,"")</f>
        <v>533</v>
      </c>
      <c r="D16" s="1"/>
      <c r="E16" s="1" t="s">
        <v>16</v>
      </c>
      <c r="F16" s="1"/>
      <c r="G16" s="1"/>
      <c r="H16" s="1"/>
      <c r="I16" s="1"/>
      <c r="J16" s="1"/>
      <c r="K16" s="1"/>
      <c r="L16" s="1"/>
    </row>
    <row r="17" spans="2:12" ht="21.95" customHeight="1">
      <c r="B17" s="1" t="s">
        <v>17</v>
      </c>
      <c r="C17" s="1">
        <f>IF(C10,(C5-1)*(C6-1),"")</f>
        <v>480</v>
      </c>
      <c r="D17" s="1"/>
      <c r="E17" s="1" t="s">
        <v>18</v>
      </c>
      <c r="F17" s="1"/>
      <c r="G17" s="1"/>
      <c r="H17" s="1"/>
      <c r="I17" s="1"/>
      <c r="J17" s="1"/>
      <c r="K17" s="1"/>
      <c r="L17" s="1"/>
    </row>
    <row r="18" spans="2:12" ht="21.95" customHeight="1">
      <c r="B18" s="1" t="s">
        <v>19</v>
      </c>
      <c r="C18" s="16">
        <f>IF(C10,MIN('Key steps'!D9:D106),"")</f>
        <v>7</v>
      </c>
      <c r="D18" s="1"/>
      <c r="E18" s="18" t="s">
        <v>114</v>
      </c>
      <c r="F18" s="1"/>
      <c r="G18" s="1"/>
      <c r="H18" s="1"/>
      <c r="I18" s="1"/>
      <c r="J18" s="1"/>
      <c r="K18" s="1"/>
      <c r="L18" s="1"/>
    </row>
    <row r="19" spans="2:12" ht="21.95" customHeight="1">
      <c r="B19" s="1" t="s">
        <v>20</v>
      </c>
      <c r="C19" s="16">
        <f>IF(C10,SUM('Key steps'!J9:J107),"")</f>
        <v>343</v>
      </c>
      <c r="D19" s="1"/>
      <c r="E19" s="18" t="s">
        <v>115</v>
      </c>
      <c r="F19" s="1"/>
      <c r="G19" s="1"/>
      <c r="H19" s="1"/>
      <c r="I19" s="1"/>
      <c r="J19" s="1"/>
      <c r="K19" s="1"/>
      <c r="L19" s="1"/>
    </row>
    <row r="20" spans="2:12" ht="21.95" customHeight="1">
      <c r="B20" s="1" t="s">
        <v>21</v>
      </c>
      <c r="C20" s="1">
        <f>IF(C10,C18*C19,"")</f>
        <v>2401</v>
      </c>
      <c r="D20" s="1"/>
      <c r="E20" s="1" t="s">
        <v>22</v>
      </c>
      <c r="F20" s="1"/>
      <c r="G20" s="1"/>
      <c r="H20" s="1"/>
      <c r="I20" s="1"/>
      <c r="J20" s="1"/>
      <c r="K20" s="1"/>
      <c r="L20" s="1"/>
    </row>
    <row r="21" spans="2:12" ht="21.95" customHeight="1">
      <c r="B21" s="1" t="s">
        <v>23</v>
      </c>
      <c r="C21" s="1">
        <f>IF(C10,MOD(C20,C17),"")</f>
        <v>1</v>
      </c>
      <c r="D21" s="1"/>
      <c r="E21" s="1" t="s">
        <v>24</v>
      </c>
      <c r="F21" s="1"/>
      <c r="G21" s="1"/>
      <c r="H21" s="1"/>
      <c r="I21" s="1"/>
      <c r="J21" s="1"/>
      <c r="K21" s="1"/>
      <c r="L21" s="1"/>
    </row>
    <row r="22" spans="2:12" ht="21.9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ht="21.95" customHeight="1">
      <c r="B23" s="19" t="s">
        <v>25</v>
      </c>
      <c r="C23" s="19" t="str">
        <f>IF(C10,"("&amp;C18&amp;", "&amp;C16&amp;")","")</f>
        <v>(7, 533)</v>
      </c>
      <c r="D23" s="20"/>
      <c r="E23" s="20" t="s">
        <v>26</v>
      </c>
      <c r="F23" s="20"/>
      <c r="G23" s="20"/>
      <c r="H23" s="20"/>
      <c r="I23" s="20"/>
      <c r="J23" s="1"/>
      <c r="K23" s="1"/>
      <c r="L23" s="1"/>
    </row>
    <row r="24" spans="2:12" ht="21.95" customHeight="1">
      <c r="B24" s="21" t="s">
        <v>27</v>
      </c>
      <c r="C24" s="21" t="str">
        <f>IF(C10,"("&amp;C19&amp;", "&amp;C16&amp;")","")</f>
        <v>(343, 533)</v>
      </c>
      <c r="D24" s="14"/>
      <c r="E24" s="14" t="s">
        <v>28</v>
      </c>
      <c r="F24" s="14"/>
      <c r="G24" s="14"/>
      <c r="H24" s="14"/>
      <c r="I24" s="14"/>
      <c r="J24" s="1"/>
      <c r="K24" s="1"/>
      <c r="L24" s="1"/>
    </row>
    <row r="25" spans="2:12" ht="21.9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ht="21.9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ht="32.1" customHeight="1">
      <c r="B27" s="4" t="s">
        <v>29</v>
      </c>
      <c r="C27" s="4"/>
      <c r="D27" s="4"/>
      <c r="E27" s="1"/>
      <c r="F27" s="1"/>
      <c r="G27" s="1"/>
      <c r="H27" s="1"/>
      <c r="I27" s="1"/>
      <c r="J27" s="1"/>
      <c r="K27" s="1"/>
      <c r="L27" s="1"/>
    </row>
    <row r="28" spans="2:12" ht="21.95" customHeight="1">
      <c r="B28" s="1" t="s">
        <v>30</v>
      </c>
      <c r="C28" s="1" t="str">
        <f>E42&amp;IF(LEN(E43)=0,""," "&amp;E43)&amp;IF(LEN(E44)=0,""," "&amp;E44)&amp;IF(LEN(E45)=0,""," "&amp;E45)&amp;IF(LEN(E46)=0,""," "&amp;E46)&amp;IF(LEN(E47)=0,""," "&amp;E47)&amp;IF(LEN(E48)=0,""," "&amp;E48)&amp;IF(LEN(E49)=0,""," "&amp;E49)&amp;IF(LEN(E50)=0,""," "&amp;E50)&amp;IF(LEN(E51)=0,""," "&amp;E51)&amp;IF(LEN(E52)=0,""," "&amp;E52)&amp;IF(LEN(E53)=0,""," "&amp;E53)&amp;IF(LEN(E54)=0,""," "&amp;E54)&amp;IF(LEN(E55)=0,""," "&amp;E55)&amp;IF(LEN(E56)=0,""," "&amp;E56)&amp;IF(LEN(E57)=0,""," "&amp;E57)</f>
        <v>48 65 6C 6C 6F 20 77 6F 72 6C 64 21</v>
      </c>
      <c r="D28" s="1"/>
      <c r="E28" s="1"/>
      <c r="F28" s="1"/>
      <c r="G28" s="1"/>
      <c r="H28" s="1"/>
      <c r="I28" s="1"/>
      <c r="J28" s="1"/>
      <c r="K28" s="1"/>
      <c r="L28" s="1"/>
    </row>
    <row r="29" spans="2:12" ht="21.95" customHeight="1">
      <c r="B29" s="1" t="s">
        <v>31</v>
      </c>
      <c r="C29" s="1" t="str">
        <f>I42&amp;IF(LEN(I43)=0,""," "&amp;I43)&amp;IF(LEN(I44)=0,""," "&amp;I44)&amp;IF(LEN(I45)=0,""," "&amp;I45)&amp;IF(LEN(I46)=0,""," "&amp;I46)&amp;IF(LEN(I47)=0,""," "&amp;I47)&amp;IF(LEN(I48)=0,""," "&amp;I48)&amp;IF(LEN(I49)=0,""," "&amp;I49)&amp;IF(LEN(I50)=0,""," "&amp;I50)&amp;IF(LEN(I51)=0,""," "&amp;I51)&amp;IF(LEN(I52)=0,""," "&amp;I52)&amp;IF(LEN(I53)=0,""," "&amp;I53)&amp;IF(LEN(I54)=0,""," "&amp;I54)&amp;IF(LEN(I55)=0,""," "&amp;I55)&amp;IF(LEN(I56)=0,""," "&amp;I56)&amp;IF(LEN(I57)=0,""," "&amp;I57)</f>
        <v>01 DA 00 99 00 D4 00 D4 00 13 01 F5 00 B4 00 13 01 28 00 D4 02 11 00 A2</v>
      </c>
      <c r="D29" s="1"/>
      <c r="E29" s="1"/>
      <c r="F29" s="1"/>
      <c r="G29" s="1"/>
      <c r="H29" s="1"/>
      <c r="I29" s="1"/>
      <c r="J29" s="1"/>
      <c r="K29" s="1"/>
      <c r="L29" s="1"/>
    </row>
    <row r="30" spans="2:12" ht="21.9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ht="21.95" customHeight="1">
      <c r="B31" s="1" t="s">
        <v>32</v>
      </c>
      <c r="C31" s="1" t="str">
        <f>K42&amp;IF(LEN(K43)=0,""," "&amp;K43)&amp;IF(LEN(K44)=0,""," "&amp;K44)&amp;IF(LEN(K45)=0,""," "&amp;K45)&amp;IF(LEN(K46)=0,""," "&amp;K46)&amp;IF(LEN(K47)=0,""," "&amp;K47)&amp;IF(LEN(K48)=0,""," "&amp;K48)&amp;IF(LEN(K49)=0,""," "&amp;K49)&amp;IF(LEN(K50)=0,""," "&amp;K50)&amp;IF(LEN(K51)=0,""," "&amp;K51)&amp;IF(LEN(K52)=0,""," "&amp;K52)&amp;IF(LEN(K53)=0,""," "&amp;K53)&amp;IF(LEN(K54)=0,""," "&amp;K54)&amp;IF(LEN(K55)=0,""," "&amp;K55)&amp;IF(LEN(K56)=0,""," "&amp;K56)&amp;IF(LEN(K57)=0,""," "&amp;K57)</f>
        <v>48 65 6C 6C 6F 20 77 6F 72 6C 64 21</v>
      </c>
      <c r="D31" s="1"/>
      <c r="E31" s="1"/>
      <c r="F31" s="1"/>
      <c r="G31" s="1"/>
      <c r="H31" s="1"/>
      <c r="I31" s="1"/>
      <c r="J31" s="1"/>
      <c r="K31" s="1"/>
      <c r="L31" s="1"/>
    </row>
    <row r="32" spans="2:12" ht="21.95" customHeight="1">
      <c r="B32" s="1" t="s">
        <v>33</v>
      </c>
      <c r="C32" s="1" t="str">
        <f>L42&amp;IF(LEN(L43)=0,"",L43)&amp;IF(LEN(L44)=0,"",L44)&amp;IF(LEN(L45)=0,"",L45)&amp;IF(LEN(L46)=0,"",L46)&amp;IF(LEN(L47)=0,"",L47)&amp;IF(LEN(L48)=0,"",L48)&amp;IF(LEN(L49)=0,"",L49)&amp;IF(LEN(L50)=0,"",L50)&amp;IF(LEN(L51)=0,"",L51)&amp;IF(LEN(L52)=0,"",L52)&amp;IF(LEN(L53)=0,"",L53)&amp;IF(LEN(L54)=0,"",L54)&amp;IF(LEN(L55)=0,"",L55)&amp;IF(LEN(L56)=0,"",L56)&amp;IF(LEN(L57)=0,"",L57)</f>
        <v>Hello world!</v>
      </c>
      <c r="D32" s="1"/>
      <c r="E32" s="1"/>
      <c r="F32" s="1"/>
      <c r="G32" s="1"/>
      <c r="H32" s="1"/>
      <c r="I32" s="1"/>
      <c r="J32" s="1"/>
      <c r="K32" s="1"/>
      <c r="L32" s="1"/>
    </row>
    <row r="33" spans="2:15" ht="21.95" customHeight="1">
      <c r="B33" s="1" t="s">
        <v>34</v>
      </c>
      <c r="C33" s="1" t="str">
        <f>IF(C12="Ready",IF(EXACT(C7,C32),"Yes","NO — mismatch"),"Fix inputs first")</f>
        <v>Yes</v>
      </c>
      <c r="D33" s="1"/>
      <c r="E33" s="1"/>
      <c r="F33" s="1"/>
      <c r="G33" s="1"/>
      <c r="H33" s="1"/>
      <c r="I33" s="1"/>
      <c r="J33" s="1"/>
      <c r="K33" s="1"/>
      <c r="L33" s="1"/>
    </row>
    <row r="34" spans="2:15" ht="21.9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5" ht="21.95" customHeight="1">
      <c r="B35" s="1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5" ht="21.95" customHeight="1"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5" ht="21.9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5" ht="21.95" customHeight="1">
      <c r="B38" s="17" t="s">
        <v>116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2:15" ht="21.95" customHeight="1">
      <c r="B39" s="1"/>
      <c r="C39" s="1"/>
      <c r="D39" s="1"/>
      <c r="E39" s="1"/>
      <c r="F39" s="9" t="str">
        <f>"e = " &amp;$C$18</f>
        <v>e = 7</v>
      </c>
      <c r="G39" s="9"/>
      <c r="H39" s="9"/>
      <c r="I39" s="9"/>
      <c r="J39" s="9" t="str">
        <f>"d = "&amp;$C$19</f>
        <v>d = 343</v>
      </c>
      <c r="K39" s="1"/>
      <c r="L39" s="1"/>
    </row>
    <row r="40" spans="2:15" ht="21.95" customHeight="1">
      <c r="B40" s="1"/>
      <c r="C40" s="1"/>
      <c r="D40" s="1"/>
      <c r="E40" s="1"/>
      <c r="F40" s="9" t="str">
        <f>"n = " &amp;$C$16</f>
        <v>n = 533</v>
      </c>
      <c r="G40" s="9"/>
      <c r="H40" s="9"/>
      <c r="I40" s="9"/>
      <c r="J40" s="9" t="str">
        <f>"n = " &amp;$C$16</f>
        <v>n = 533</v>
      </c>
      <c r="K40" s="1"/>
      <c r="L40" s="1"/>
      <c r="N40" s="22"/>
      <c r="O40" s="22"/>
    </row>
    <row r="41" spans="2:15" ht="48.75" customHeight="1">
      <c r="B41" s="4" t="s">
        <v>37</v>
      </c>
      <c r="C41" s="4" t="s">
        <v>38</v>
      </c>
      <c r="D41" s="4" t="s">
        <v>39</v>
      </c>
      <c r="E41" s="4" t="s">
        <v>40</v>
      </c>
      <c r="F41" s="23" t="s">
        <v>117</v>
      </c>
      <c r="G41" s="4" t="s">
        <v>41</v>
      </c>
      <c r="H41" s="4" t="s">
        <v>42</v>
      </c>
      <c r="I41" s="4" t="s">
        <v>43</v>
      </c>
      <c r="J41" s="23" t="s">
        <v>118</v>
      </c>
      <c r="K41" s="4" t="s">
        <v>40</v>
      </c>
      <c r="L41" s="4" t="s">
        <v>38</v>
      </c>
    </row>
    <row r="42" spans="2:15" ht="21.95" customHeight="1">
      <c r="B42" s="7">
        <v>1</v>
      </c>
      <c r="C42" s="15" t="str">
        <f t="shared" ref="C42:C57" si="0">IF(B42&lt;=LEN($C$7),MID($C$7,B42,1),"")</f>
        <v>H</v>
      </c>
      <c r="D42" s="5">
        <f t="shared" ref="D42:D57" si="1">IF(LEN(C42)=0,"",_xlfn.UNICODE(C42&amp;"x"))</f>
        <v>72</v>
      </c>
      <c r="E42" s="7" t="str">
        <f t="shared" ref="E42:E57" si="2">IF(LEN(C42)=0,"",IF(AND(D42&gt;=32,D42&lt;=126),DEC2HEX(D42,2),"Not ASCII"))</f>
        <v>48</v>
      </c>
      <c r="F42" s="13">
        <f>IF(OR($C$12&lt;&gt;"Ready",LEN(C42)=0),"",'Power steps'!G23)</f>
        <v>474</v>
      </c>
      <c r="G42" s="5">
        <f t="shared" ref="G42:G57" si="3">IF(LEN(F42)=0,"",INT(F42/256))</f>
        <v>1</v>
      </c>
      <c r="H42" s="5">
        <f t="shared" ref="H42:H57" si="4">IF(LEN(F42)=0,"",MOD(F42,256))</f>
        <v>218</v>
      </c>
      <c r="I42" s="7" t="str">
        <f t="shared" ref="I42:I57" si="5">IF(LEN(F42)=0,"",DEC2HEX(G42,2)&amp;" "&amp;DEC2HEX(H42,2))</f>
        <v>01 DA</v>
      </c>
      <c r="J42" s="14">
        <f>IF(LEN(F42)=0,"",'Power steps'!O23)</f>
        <v>72</v>
      </c>
      <c r="K42" s="7" t="str">
        <f t="shared" ref="K42:K57" si="6">IF(LEN(J42)=0,"",DEC2HEX(J42,2))</f>
        <v>48</v>
      </c>
      <c r="L42" s="8" t="str">
        <f t="shared" ref="L42:L57" si="7">IF(LEN(J42)=0,"",CHAR(J42))</f>
        <v>H</v>
      </c>
    </row>
    <row r="43" spans="2:15" ht="21.95" customHeight="1">
      <c r="B43" s="9">
        <v>2</v>
      </c>
      <c r="C43" s="15" t="str">
        <f t="shared" si="0"/>
        <v>e</v>
      </c>
      <c r="D43" s="1">
        <f t="shared" si="1"/>
        <v>101</v>
      </c>
      <c r="E43" s="9" t="str">
        <f t="shared" si="2"/>
        <v>65</v>
      </c>
      <c r="F43" s="13">
        <f>IF(OR($C$12&lt;&gt;"Ready",LEN(C43)=0),"",'Power steps'!G41)</f>
        <v>153</v>
      </c>
      <c r="G43" s="1">
        <f t="shared" si="3"/>
        <v>0</v>
      </c>
      <c r="H43" s="1">
        <f t="shared" si="4"/>
        <v>153</v>
      </c>
      <c r="I43" s="9" t="str">
        <f t="shared" si="5"/>
        <v>00 99</v>
      </c>
      <c r="J43" s="14">
        <f>IF(LEN(F43)=0,"",'Power steps'!O41)</f>
        <v>101</v>
      </c>
      <c r="K43" s="9" t="str">
        <f t="shared" si="6"/>
        <v>65</v>
      </c>
      <c r="L43" s="10" t="str">
        <f t="shared" si="7"/>
        <v>e</v>
      </c>
    </row>
    <row r="44" spans="2:15" ht="21.95" customHeight="1">
      <c r="B44" s="7">
        <v>3</v>
      </c>
      <c r="C44" s="15" t="str">
        <f t="shared" si="0"/>
        <v>l</v>
      </c>
      <c r="D44" s="5">
        <f t="shared" si="1"/>
        <v>108</v>
      </c>
      <c r="E44" s="7" t="str">
        <f t="shared" si="2"/>
        <v>6C</v>
      </c>
      <c r="F44" s="13">
        <f>IF(OR($C$12&lt;&gt;"Ready",LEN(C44)=0),"",'Power steps'!G59)</f>
        <v>212</v>
      </c>
      <c r="G44" s="5">
        <f t="shared" si="3"/>
        <v>0</v>
      </c>
      <c r="H44" s="5">
        <f t="shared" si="4"/>
        <v>212</v>
      </c>
      <c r="I44" s="7" t="str">
        <f t="shared" si="5"/>
        <v>00 D4</v>
      </c>
      <c r="J44" s="14">
        <f>IF(LEN(F44)=0,"",'Power steps'!O59)</f>
        <v>108</v>
      </c>
      <c r="K44" s="7" t="str">
        <f t="shared" si="6"/>
        <v>6C</v>
      </c>
      <c r="L44" s="8" t="str">
        <f t="shared" si="7"/>
        <v>l</v>
      </c>
    </row>
    <row r="45" spans="2:15" ht="21.95" customHeight="1">
      <c r="B45" s="9">
        <v>4</v>
      </c>
      <c r="C45" s="15" t="str">
        <f t="shared" si="0"/>
        <v>l</v>
      </c>
      <c r="D45" s="1">
        <f t="shared" si="1"/>
        <v>108</v>
      </c>
      <c r="E45" s="9" t="str">
        <f t="shared" si="2"/>
        <v>6C</v>
      </c>
      <c r="F45" s="13">
        <f>IF(OR($C$12&lt;&gt;"Ready",LEN(C45)=0),"",'Power steps'!G77)</f>
        <v>212</v>
      </c>
      <c r="G45" s="1">
        <f t="shared" si="3"/>
        <v>0</v>
      </c>
      <c r="H45" s="1">
        <f t="shared" si="4"/>
        <v>212</v>
      </c>
      <c r="I45" s="9" t="str">
        <f t="shared" si="5"/>
        <v>00 D4</v>
      </c>
      <c r="J45" s="14">
        <f>IF(LEN(F45)=0,"",'Power steps'!O77)</f>
        <v>108</v>
      </c>
      <c r="K45" s="9" t="str">
        <f t="shared" si="6"/>
        <v>6C</v>
      </c>
      <c r="L45" s="10" t="str">
        <f t="shared" si="7"/>
        <v>l</v>
      </c>
    </row>
    <row r="46" spans="2:15" ht="21.95" customHeight="1">
      <c r="B46" s="7">
        <v>5</v>
      </c>
      <c r="C46" s="15" t="str">
        <f t="shared" si="0"/>
        <v>o</v>
      </c>
      <c r="D46" s="5">
        <f t="shared" si="1"/>
        <v>111</v>
      </c>
      <c r="E46" s="7" t="str">
        <f t="shared" si="2"/>
        <v>6F</v>
      </c>
      <c r="F46" s="13">
        <f>IF(OR($C$12&lt;&gt;"Ready",LEN(C46)=0),"",'Power steps'!G95)</f>
        <v>19</v>
      </c>
      <c r="G46" s="5">
        <f t="shared" si="3"/>
        <v>0</v>
      </c>
      <c r="H46" s="5">
        <f t="shared" si="4"/>
        <v>19</v>
      </c>
      <c r="I46" s="7" t="str">
        <f t="shared" si="5"/>
        <v>00 13</v>
      </c>
      <c r="J46" s="14">
        <f>IF(LEN(F46)=0,"",'Power steps'!O95)</f>
        <v>111</v>
      </c>
      <c r="K46" s="7" t="str">
        <f t="shared" si="6"/>
        <v>6F</v>
      </c>
      <c r="L46" s="8" t="str">
        <f t="shared" si="7"/>
        <v>o</v>
      </c>
    </row>
    <row r="47" spans="2:15" ht="21.95" customHeight="1">
      <c r="B47" s="9">
        <v>6</v>
      </c>
      <c r="C47" s="15" t="str">
        <f t="shared" si="0"/>
        <v xml:space="preserve"> </v>
      </c>
      <c r="D47" s="1">
        <f t="shared" si="1"/>
        <v>32</v>
      </c>
      <c r="E47" s="9" t="str">
        <f t="shared" si="2"/>
        <v>20</v>
      </c>
      <c r="F47" s="13">
        <f>IF(OR($C$12&lt;&gt;"Ready",LEN(C47)=0),"",'Power steps'!G113)</f>
        <v>501</v>
      </c>
      <c r="G47" s="1">
        <f t="shared" si="3"/>
        <v>1</v>
      </c>
      <c r="H47" s="1">
        <f t="shared" si="4"/>
        <v>245</v>
      </c>
      <c r="I47" s="9" t="str">
        <f t="shared" si="5"/>
        <v>01 F5</v>
      </c>
      <c r="J47" s="14">
        <f>IF(LEN(F47)=0,"",'Power steps'!O113)</f>
        <v>32</v>
      </c>
      <c r="K47" s="9" t="str">
        <f t="shared" si="6"/>
        <v>20</v>
      </c>
      <c r="L47" s="10" t="str">
        <f t="shared" si="7"/>
        <v xml:space="preserve"> </v>
      </c>
    </row>
    <row r="48" spans="2:15" ht="21.95" customHeight="1">
      <c r="B48" s="7">
        <v>7</v>
      </c>
      <c r="C48" s="15" t="str">
        <f t="shared" si="0"/>
        <v>w</v>
      </c>
      <c r="D48" s="5">
        <f t="shared" si="1"/>
        <v>119</v>
      </c>
      <c r="E48" s="7" t="str">
        <f t="shared" si="2"/>
        <v>77</v>
      </c>
      <c r="F48" s="13">
        <f>IF(OR($C$12&lt;&gt;"Ready",LEN(C48)=0),"",'Power steps'!G131)</f>
        <v>180</v>
      </c>
      <c r="G48" s="5">
        <f t="shared" si="3"/>
        <v>0</v>
      </c>
      <c r="H48" s="5">
        <f t="shared" si="4"/>
        <v>180</v>
      </c>
      <c r="I48" s="7" t="str">
        <f t="shared" si="5"/>
        <v>00 B4</v>
      </c>
      <c r="J48" s="14">
        <f>IF(LEN(F48)=0,"",'Power steps'!O131)</f>
        <v>119</v>
      </c>
      <c r="K48" s="7" t="str">
        <f t="shared" si="6"/>
        <v>77</v>
      </c>
      <c r="L48" s="8" t="str">
        <f t="shared" si="7"/>
        <v>w</v>
      </c>
    </row>
    <row r="49" spans="2:12" ht="21.95" customHeight="1">
      <c r="B49" s="9">
        <v>8</v>
      </c>
      <c r="C49" s="15" t="str">
        <f t="shared" si="0"/>
        <v>o</v>
      </c>
      <c r="D49" s="1">
        <f t="shared" si="1"/>
        <v>111</v>
      </c>
      <c r="E49" s="9" t="str">
        <f t="shared" si="2"/>
        <v>6F</v>
      </c>
      <c r="F49" s="13">
        <f>IF(OR($C$12&lt;&gt;"Ready",LEN(C49)=0),"",'Power steps'!G149)</f>
        <v>19</v>
      </c>
      <c r="G49" s="1">
        <f t="shared" si="3"/>
        <v>0</v>
      </c>
      <c r="H49" s="1">
        <f t="shared" si="4"/>
        <v>19</v>
      </c>
      <c r="I49" s="9" t="str">
        <f t="shared" si="5"/>
        <v>00 13</v>
      </c>
      <c r="J49" s="14">
        <f>IF(LEN(F49)=0,"",'Power steps'!O149)</f>
        <v>111</v>
      </c>
      <c r="K49" s="9" t="str">
        <f t="shared" si="6"/>
        <v>6F</v>
      </c>
      <c r="L49" s="10" t="str">
        <f t="shared" si="7"/>
        <v>o</v>
      </c>
    </row>
    <row r="50" spans="2:12" ht="21.95" customHeight="1">
      <c r="B50" s="7">
        <v>9</v>
      </c>
      <c r="C50" s="15" t="str">
        <f t="shared" si="0"/>
        <v>r</v>
      </c>
      <c r="D50" s="5">
        <f t="shared" si="1"/>
        <v>114</v>
      </c>
      <c r="E50" s="7" t="str">
        <f t="shared" si="2"/>
        <v>72</v>
      </c>
      <c r="F50" s="13">
        <f>IF(OR($C$12&lt;&gt;"Ready",LEN(C50)=0),"",'Power steps'!G167)</f>
        <v>296</v>
      </c>
      <c r="G50" s="5">
        <f t="shared" si="3"/>
        <v>1</v>
      </c>
      <c r="H50" s="5">
        <f t="shared" si="4"/>
        <v>40</v>
      </c>
      <c r="I50" s="7" t="str">
        <f t="shared" si="5"/>
        <v>01 28</v>
      </c>
      <c r="J50" s="14">
        <f>IF(LEN(F50)=0,"",'Power steps'!O167)</f>
        <v>114</v>
      </c>
      <c r="K50" s="7" t="str">
        <f t="shared" si="6"/>
        <v>72</v>
      </c>
      <c r="L50" s="8" t="str">
        <f t="shared" si="7"/>
        <v>r</v>
      </c>
    </row>
    <row r="51" spans="2:12" ht="21.95" customHeight="1">
      <c r="B51" s="9">
        <v>10</v>
      </c>
      <c r="C51" s="15" t="str">
        <f t="shared" si="0"/>
        <v>l</v>
      </c>
      <c r="D51" s="1">
        <f t="shared" si="1"/>
        <v>108</v>
      </c>
      <c r="E51" s="9" t="str">
        <f t="shared" si="2"/>
        <v>6C</v>
      </c>
      <c r="F51" s="13">
        <f>IF(OR($C$12&lt;&gt;"Ready",LEN(C51)=0),"",'Power steps'!G185)</f>
        <v>212</v>
      </c>
      <c r="G51" s="1">
        <f t="shared" si="3"/>
        <v>0</v>
      </c>
      <c r="H51" s="1">
        <f t="shared" si="4"/>
        <v>212</v>
      </c>
      <c r="I51" s="9" t="str">
        <f t="shared" si="5"/>
        <v>00 D4</v>
      </c>
      <c r="J51" s="14">
        <f>IF(LEN(F51)=0,"",'Power steps'!O185)</f>
        <v>108</v>
      </c>
      <c r="K51" s="9" t="str">
        <f t="shared" si="6"/>
        <v>6C</v>
      </c>
      <c r="L51" s="10" t="str">
        <f t="shared" si="7"/>
        <v>l</v>
      </c>
    </row>
    <row r="52" spans="2:12" ht="21.95" customHeight="1">
      <c r="B52" s="7">
        <v>11</v>
      </c>
      <c r="C52" s="15" t="str">
        <f t="shared" si="0"/>
        <v>d</v>
      </c>
      <c r="D52" s="5">
        <f t="shared" si="1"/>
        <v>100</v>
      </c>
      <c r="E52" s="7" t="str">
        <f t="shared" si="2"/>
        <v>64</v>
      </c>
      <c r="F52" s="13">
        <f>IF(OR($C$12&lt;&gt;"Ready",LEN(C52)=0),"",'Power steps'!G203)</f>
        <v>529</v>
      </c>
      <c r="G52" s="5">
        <f t="shared" si="3"/>
        <v>2</v>
      </c>
      <c r="H52" s="5">
        <f t="shared" si="4"/>
        <v>17</v>
      </c>
      <c r="I52" s="7" t="str">
        <f t="shared" si="5"/>
        <v>02 11</v>
      </c>
      <c r="J52" s="14">
        <f>IF(LEN(F52)=0,"",'Power steps'!O203)</f>
        <v>100</v>
      </c>
      <c r="K52" s="7" t="str">
        <f t="shared" si="6"/>
        <v>64</v>
      </c>
      <c r="L52" s="8" t="str">
        <f t="shared" si="7"/>
        <v>d</v>
      </c>
    </row>
    <row r="53" spans="2:12" ht="21.95" customHeight="1">
      <c r="B53" s="9">
        <v>12</v>
      </c>
      <c r="C53" s="15" t="str">
        <f t="shared" si="0"/>
        <v>!</v>
      </c>
      <c r="D53" s="1">
        <f t="shared" si="1"/>
        <v>33</v>
      </c>
      <c r="E53" s="9" t="str">
        <f t="shared" si="2"/>
        <v>21</v>
      </c>
      <c r="F53" s="13">
        <f>IF(OR($C$12&lt;&gt;"Ready",LEN(C53)=0),"",'Power steps'!G221)</f>
        <v>162</v>
      </c>
      <c r="G53" s="1">
        <f t="shared" si="3"/>
        <v>0</v>
      </c>
      <c r="H53" s="1">
        <f t="shared" si="4"/>
        <v>162</v>
      </c>
      <c r="I53" s="9" t="str">
        <f t="shared" si="5"/>
        <v>00 A2</v>
      </c>
      <c r="J53" s="14">
        <f>IF(LEN(F53)=0,"",'Power steps'!O221)</f>
        <v>33</v>
      </c>
      <c r="K53" s="9" t="str">
        <f t="shared" si="6"/>
        <v>21</v>
      </c>
      <c r="L53" s="10" t="str">
        <f t="shared" si="7"/>
        <v>!</v>
      </c>
    </row>
    <row r="54" spans="2:12" ht="21.95" customHeight="1">
      <c r="B54" s="7">
        <v>13</v>
      </c>
      <c r="C54" s="15" t="str">
        <f t="shared" si="0"/>
        <v/>
      </c>
      <c r="D54" s="5" t="str">
        <f t="shared" si="1"/>
        <v/>
      </c>
      <c r="E54" s="7" t="str">
        <f t="shared" si="2"/>
        <v/>
      </c>
      <c r="F54" s="13" t="str">
        <f>IF(OR($C$12&lt;&gt;"Ready",LEN(C54)=0),"",'Power steps'!G239)</f>
        <v/>
      </c>
      <c r="G54" s="5" t="str">
        <f t="shared" si="3"/>
        <v/>
      </c>
      <c r="H54" s="5" t="str">
        <f t="shared" si="4"/>
        <v/>
      </c>
      <c r="I54" s="7" t="str">
        <f t="shared" si="5"/>
        <v/>
      </c>
      <c r="J54" s="14" t="str">
        <f>IF(LEN(F54)=0,"",'Power steps'!O239)</f>
        <v/>
      </c>
      <c r="K54" s="7" t="str">
        <f t="shared" si="6"/>
        <v/>
      </c>
      <c r="L54" s="8" t="str">
        <f t="shared" si="7"/>
        <v/>
      </c>
    </row>
    <row r="55" spans="2:12" ht="21.95" customHeight="1">
      <c r="B55" s="9">
        <v>14</v>
      </c>
      <c r="C55" s="15" t="str">
        <f t="shared" si="0"/>
        <v/>
      </c>
      <c r="D55" s="1" t="str">
        <f t="shared" si="1"/>
        <v/>
      </c>
      <c r="E55" s="9" t="str">
        <f t="shared" si="2"/>
        <v/>
      </c>
      <c r="F55" s="13" t="str">
        <f>IF(OR($C$12&lt;&gt;"Ready",LEN(C55)=0),"",'Power steps'!G257)</f>
        <v/>
      </c>
      <c r="G55" s="1" t="str">
        <f t="shared" si="3"/>
        <v/>
      </c>
      <c r="H55" s="1" t="str">
        <f t="shared" si="4"/>
        <v/>
      </c>
      <c r="I55" s="9" t="str">
        <f t="shared" si="5"/>
        <v/>
      </c>
      <c r="J55" s="14" t="str">
        <f>IF(LEN(F55)=0,"",'Power steps'!O257)</f>
        <v/>
      </c>
      <c r="K55" s="9" t="str">
        <f t="shared" si="6"/>
        <v/>
      </c>
      <c r="L55" s="10" t="str">
        <f t="shared" si="7"/>
        <v/>
      </c>
    </row>
    <row r="56" spans="2:12" ht="21.95" customHeight="1">
      <c r="B56" s="7">
        <v>15</v>
      </c>
      <c r="C56" s="15" t="str">
        <f t="shared" si="0"/>
        <v/>
      </c>
      <c r="D56" s="5" t="str">
        <f t="shared" si="1"/>
        <v/>
      </c>
      <c r="E56" s="7" t="str">
        <f t="shared" si="2"/>
        <v/>
      </c>
      <c r="F56" s="13" t="str">
        <f>IF(OR($C$12&lt;&gt;"Ready",LEN(C56)=0),"",'Power steps'!G275)</f>
        <v/>
      </c>
      <c r="G56" s="5" t="str">
        <f t="shared" si="3"/>
        <v/>
      </c>
      <c r="H56" s="5" t="str">
        <f t="shared" si="4"/>
        <v/>
      </c>
      <c r="I56" s="7" t="str">
        <f t="shared" si="5"/>
        <v/>
      </c>
      <c r="J56" s="14" t="str">
        <f>IF(LEN(F56)=0,"",'Power steps'!O275)</f>
        <v/>
      </c>
      <c r="K56" s="7" t="str">
        <f t="shared" si="6"/>
        <v/>
      </c>
      <c r="L56" s="8" t="str">
        <f t="shared" si="7"/>
        <v/>
      </c>
    </row>
    <row r="57" spans="2:12" ht="21.95" customHeight="1">
      <c r="B57" s="9">
        <v>16</v>
      </c>
      <c r="C57" s="15" t="str">
        <f t="shared" si="0"/>
        <v/>
      </c>
      <c r="D57" s="1" t="str">
        <f t="shared" si="1"/>
        <v/>
      </c>
      <c r="E57" s="9" t="str">
        <f t="shared" si="2"/>
        <v/>
      </c>
      <c r="F57" s="13" t="str">
        <f>IF(OR($C$12&lt;&gt;"Ready",LEN(C57)=0),"",'Power steps'!G293)</f>
        <v/>
      </c>
      <c r="G57" s="1" t="str">
        <f t="shared" si="3"/>
        <v/>
      </c>
      <c r="H57" s="1" t="str">
        <f t="shared" si="4"/>
        <v/>
      </c>
      <c r="I57" s="9" t="str">
        <f t="shared" si="5"/>
        <v/>
      </c>
      <c r="J57" s="14" t="str">
        <f>IF(LEN(F57)=0,"",'Power steps'!O293)</f>
        <v/>
      </c>
      <c r="K57" s="9" t="str">
        <f t="shared" si="6"/>
        <v/>
      </c>
      <c r="L57" s="10" t="str">
        <f t="shared" si="7"/>
        <v/>
      </c>
    </row>
    <row r="58" spans="2:12" ht="59.25" customHeight="1">
      <c r="B58" s="1"/>
      <c r="C58" s="1"/>
      <c r="D58" s="1"/>
      <c r="E58" s="1"/>
      <c r="F58" s="24" t="s">
        <v>120</v>
      </c>
      <c r="G58" s="24"/>
      <c r="H58" s="24"/>
      <c r="I58" s="24"/>
      <c r="J58" s="24"/>
      <c r="K58" s="1"/>
      <c r="L58" s="1"/>
    </row>
    <row r="59" spans="2:12" ht="21.9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2:12" ht="21.9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 ht="21.95" customHeight="1">
      <c r="B61" s="6" t="s">
        <v>44</v>
      </c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 ht="21.95" customHeight="1">
      <c r="B62" s="1" t="s">
        <v>45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 ht="21.9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 ht="21.95" customHeight="1">
      <c r="B64" s="6" t="s">
        <v>46</v>
      </c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2:12" ht="21.95" customHeight="1">
      <c r="B65" s="1" t="s">
        <v>47</v>
      </c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2:12" ht="21.95" customHeight="1">
      <c r="B66" s="1" t="s">
        <v>48</v>
      </c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 ht="21.95" customHeight="1">
      <c r="B67" s="1" t="s">
        <v>49</v>
      </c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2:12" ht="21.9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2:12" ht="21.95" customHeight="1">
      <c r="B69" s="6" t="s">
        <v>50</v>
      </c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2:12" ht="21.95" customHeight="1">
      <c r="B70" s="1" t="s">
        <v>51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2:12" ht="21.95" customHeight="1">
      <c r="B71" s="1" t="s">
        <v>52</v>
      </c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2:12" ht="21.95" customHeight="1">
      <c r="B72" s="1" t="s">
        <v>53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2:12" ht="21.95" customHeight="1">
      <c r="B73" s="1" t="s">
        <v>54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2:12" ht="21.95" customHeight="1">
      <c r="B74" s="1" t="s">
        <v>55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2:12" ht="21.9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2:12" ht="21.9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3">
    <mergeCell ref="N40:O40"/>
    <mergeCell ref="B38:L38"/>
    <mergeCell ref="F58:J58"/>
  </mergeCells>
  <conditionalFormatting sqref="C12">
    <cfRule type="cellIs" dxfId="2" priority="1" operator="notEqual">
      <formula>"Ready"</formula>
    </cfRule>
  </conditionalFormatting>
  <dataValidations count="1">
    <dataValidation type="list" sqref="C5:C6" xr:uid="{00000000-0002-0000-0000-000000000000}">
      <formula1>"2,3,5,7,11,13,17,19,23,29,31,37,41,43,47,53,59,61,67,71,73,79,83,89,97"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583A8"/>
  </sheetPr>
  <dimension ref="A1:N110"/>
  <sheetViews>
    <sheetView showGridLines="0" workbookViewId="0">
      <pane ySplit="8" topLeftCell="A9" activePane="bottomLeft" state="frozen"/>
      <selection pane="bottomLeft" activeCell="C14" sqref="C14"/>
    </sheetView>
  </sheetViews>
  <sheetFormatPr defaultRowHeight="14.25"/>
  <cols>
    <col min="1" max="4" width="14" customWidth="1"/>
    <col min="5" max="5" width="3" customWidth="1"/>
    <col min="6" max="10" width="14" customWidth="1"/>
    <col min="11" max="13" width="3" customWidth="1"/>
    <col min="14" max="14" width="16" customWidth="1"/>
  </cols>
  <sheetData>
    <row r="1" spans="1:14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.95" customHeight="1">
      <c r="A2" s="2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1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.95" customHeight="1">
      <c r="A4" s="1" t="s">
        <v>57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1.95" customHeight="1">
      <c r="A5" s="1" t="s">
        <v>58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1" t="s">
        <v>59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1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2.1" customHeight="1">
      <c r="A8" s="4" t="s">
        <v>60</v>
      </c>
      <c r="B8" s="4" t="s">
        <v>61</v>
      </c>
      <c r="C8" s="4" t="s">
        <v>62</v>
      </c>
      <c r="D8" s="4" t="s">
        <v>63</v>
      </c>
      <c r="E8" s="1"/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1"/>
      <c r="L8" s="1"/>
      <c r="M8" s="1"/>
      <c r="N8" s="4" t="s">
        <v>69</v>
      </c>
    </row>
    <row r="9" spans="1:14" ht="21.95" customHeight="1">
      <c r="A9" s="1">
        <v>2</v>
      </c>
      <c r="B9" s="1">
        <f>IF(RSA!$C$10,GCD(A9,RSA!$C$17),"")</f>
        <v>2</v>
      </c>
      <c r="C9" s="1" t="b">
        <f>IF(RSA!$C$10,AND(A9&lt;RSA!$C$16,B9=1),FALSE)</f>
        <v>0</v>
      </c>
      <c r="D9" s="1" t="str">
        <f t="shared" ref="D9:D40" si="0">IF(C9,A9,"")</f>
        <v/>
      </c>
      <c r="E9" s="1"/>
      <c r="F9" s="1">
        <v>0</v>
      </c>
      <c r="G9" s="1">
        <f>IF(RSA!$C$10,1+F9*RSA!$C$17,"")</f>
        <v>1</v>
      </c>
      <c r="H9" s="11">
        <f>IF(RSA!$C$10,G9/RSA!$C$18,"")</f>
        <v>0.14285714285714285</v>
      </c>
      <c r="I9" s="1">
        <f>IF(RSA!$C$10,MOD(G9,RSA!$C$18),"")</f>
        <v>1</v>
      </c>
      <c r="J9" s="1" t="str">
        <f>IF(RSA!$C$10,IF(AND(F9&lt;RSA!$C$18,I9=0),H9,""),"")</f>
        <v/>
      </c>
      <c r="K9" s="1"/>
      <c r="L9" s="1"/>
      <c r="M9" s="1"/>
      <c r="N9" s="1">
        <v>2</v>
      </c>
    </row>
    <row r="10" spans="1:14" ht="21.95" customHeight="1">
      <c r="A10" s="1">
        <v>3</v>
      </c>
      <c r="B10" s="1">
        <f>IF(RSA!$C$10,GCD(A10,RSA!$C$17),"")</f>
        <v>3</v>
      </c>
      <c r="C10" s="1" t="b">
        <f>IF(RSA!$C$10,AND(A10&lt;RSA!$C$16,B10=1),FALSE)</f>
        <v>0</v>
      </c>
      <c r="D10" s="1" t="str">
        <f t="shared" si="0"/>
        <v/>
      </c>
      <c r="E10" s="1"/>
      <c r="F10" s="1">
        <v>1</v>
      </c>
      <c r="G10" s="1">
        <f>IF(RSA!$C$10,1+F10*RSA!$C$17,"")</f>
        <v>481</v>
      </c>
      <c r="H10" s="11">
        <f>IF(RSA!$C$10,G10/RSA!$C$18,"")</f>
        <v>68.714285714285708</v>
      </c>
      <c r="I10" s="1">
        <f>IF(RSA!$C$10,MOD(G10,RSA!$C$18),"")</f>
        <v>5</v>
      </c>
      <c r="J10" s="1" t="str">
        <f>IF(RSA!$C$10,IF(AND(F10&lt;RSA!$C$18,I10=0),H10,""),"")</f>
        <v/>
      </c>
      <c r="K10" s="1"/>
      <c r="L10" s="1"/>
      <c r="M10" s="1"/>
      <c r="N10" s="1">
        <v>3</v>
      </c>
    </row>
    <row r="11" spans="1:14" ht="21.95" customHeight="1">
      <c r="A11" s="1">
        <v>4</v>
      </c>
      <c r="B11" s="1">
        <f>IF(RSA!$C$10,GCD(A11,RSA!$C$17),"")</f>
        <v>4</v>
      </c>
      <c r="C11" s="1" t="b">
        <f>IF(RSA!$C$10,AND(A11&lt;RSA!$C$16,B11=1),FALSE)</f>
        <v>0</v>
      </c>
      <c r="D11" s="1" t="str">
        <f t="shared" si="0"/>
        <v/>
      </c>
      <c r="E11" s="1"/>
      <c r="F11" s="1">
        <v>2</v>
      </c>
      <c r="G11" s="1">
        <f>IF(RSA!$C$10,1+F11*RSA!$C$17,"")</f>
        <v>961</v>
      </c>
      <c r="H11" s="11">
        <f>IF(RSA!$C$10,G11/RSA!$C$18,"")</f>
        <v>137.28571428571428</v>
      </c>
      <c r="I11" s="1">
        <f>IF(RSA!$C$10,MOD(G11,RSA!$C$18),"")</f>
        <v>2</v>
      </c>
      <c r="J11" s="1" t="str">
        <f>IF(RSA!$C$10,IF(AND(F11&lt;RSA!$C$18,I11=0),H11,""),"")</f>
        <v/>
      </c>
      <c r="K11" s="1"/>
      <c r="L11" s="1"/>
      <c r="M11" s="1"/>
      <c r="N11" s="1">
        <v>5</v>
      </c>
    </row>
    <row r="12" spans="1:14" ht="21.95" customHeight="1">
      <c r="A12" s="1">
        <v>5</v>
      </c>
      <c r="B12" s="1">
        <f>IF(RSA!$C$10,GCD(A12,RSA!$C$17),"")</f>
        <v>5</v>
      </c>
      <c r="C12" s="1" t="b">
        <f>IF(RSA!$C$10,AND(A12&lt;RSA!$C$16,B12=1),FALSE)</f>
        <v>0</v>
      </c>
      <c r="D12" s="1" t="str">
        <f t="shared" si="0"/>
        <v/>
      </c>
      <c r="E12" s="1"/>
      <c r="F12" s="1">
        <v>3</v>
      </c>
      <c r="G12" s="1">
        <f>IF(RSA!$C$10,1+F12*RSA!$C$17,"")</f>
        <v>1441</v>
      </c>
      <c r="H12" s="11">
        <f>IF(RSA!$C$10,G12/RSA!$C$18,"")</f>
        <v>205.85714285714286</v>
      </c>
      <c r="I12" s="1">
        <f>IF(RSA!$C$10,MOD(G12,RSA!$C$18),"")</f>
        <v>6</v>
      </c>
      <c r="J12" s="1" t="str">
        <f>IF(RSA!$C$10,IF(AND(F12&lt;RSA!$C$18,I12=0),H12,""),"")</f>
        <v/>
      </c>
      <c r="K12" s="1"/>
      <c r="L12" s="1"/>
      <c r="M12" s="1"/>
      <c r="N12" s="1">
        <v>7</v>
      </c>
    </row>
    <row r="13" spans="1:14" ht="21.95" customHeight="1">
      <c r="A13" s="1">
        <v>6</v>
      </c>
      <c r="B13" s="1">
        <f>IF(RSA!$C$10,GCD(A13,RSA!$C$17),"")</f>
        <v>6</v>
      </c>
      <c r="C13" s="1" t="b">
        <f>IF(RSA!$C$10,AND(A13&lt;RSA!$C$16,B13=1),FALSE)</f>
        <v>0</v>
      </c>
      <c r="D13" s="1" t="str">
        <f t="shared" si="0"/>
        <v/>
      </c>
      <c r="E13" s="1"/>
      <c r="F13" s="1">
        <v>4</v>
      </c>
      <c r="G13" s="1">
        <f>IF(RSA!$C$10,1+F13*RSA!$C$17,"")</f>
        <v>1921</v>
      </c>
      <c r="H13" s="11">
        <f>IF(RSA!$C$10,G13/RSA!$C$18,"")</f>
        <v>274.42857142857144</v>
      </c>
      <c r="I13" s="1">
        <f>IF(RSA!$C$10,MOD(G13,RSA!$C$18),"")</f>
        <v>3</v>
      </c>
      <c r="J13" s="1" t="str">
        <f>IF(RSA!$C$10,IF(AND(F13&lt;RSA!$C$18,I13=0),H13,""),"")</f>
        <v/>
      </c>
      <c r="K13" s="1"/>
      <c r="L13" s="1"/>
      <c r="M13" s="1"/>
      <c r="N13" s="1">
        <v>11</v>
      </c>
    </row>
    <row r="14" spans="1:14" ht="21.95" customHeight="1">
      <c r="A14" s="1">
        <v>7</v>
      </c>
      <c r="B14" s="1">
        <f>IF(RSA!$C$10,GCD(A14,RSA!$C$17),"")</f>
        <v>1</v>
      </c>
      <c r="C14" s="1" t="b">
        <f>IF(RSA!$C$10,AND(A14&lt;RSA!$C$16,B14=1),FALSE)</f>
        <v>1</v>
      </c>
      <c r="D14" s="1">
        <f t="shared" si="0"/>
        <v>7</v>
      </c>
      <c r="E14" s="1"/>
      <c r="F14" s="1">
        <v>5</v>
      </c>
      <c r="G14" s="1">
        <f>IF(RSA!$C$10,1+F14*RSA!$C$17,"")</f>
        <v>2401</v>
      </c>
      <c r="H14" s="11">
        <f>IF(RSA!$C$10,G14/RSA!$C$18,"")</f>
        <v>343</v>
      </c>
      <c r="I14" s="1">
        <f>IF(RSA!$C$10,MOD(G14,RSA!$C$18),"")</f>
        <v>0</v>
      </c>
      <c r="J14" s="1">
        <f>IF(RSA!$C$10,IF(AND(F14&lt;RSA!$C$18,I14=0),H14,""),"")</f>
        <v>343</v>
      </c>
      <c r="K14" s="1"/>
      <c r="L14" s="1"/>
      <c r="M14" s="1"/>
      <c r="N14" s="1">
        <v>13</v>
      </c>
    </row>
    <row r="15" spans="1:14" ht="21.95" customHeight="1">
      <c r="A15" s="1">
        <v>8</v>
      </c>
      <c r="B15" s="1">
        <f>IF(RSA!$C$10,GCD(A15,RSA!$C$17),"")</f>
        <v>8</v>
      </c>
      <c r="C15" s="1" t="b">
        <f>IF(RSA!$C$10,AND(A15&lt;RSA!$C$16,B15=1),FALSE)</f>
        <v>0</v>
      </c>
      <c r="D15" s="1" t="str">
        <f t="shared" si="0"/>
        <v/>
      </c>
      <c r="E15" s="1"/>
      <c r="F15" s="1">
        <v>6</v>
      </c>
      <c r="G15" s="1">
        <f>IF(RSA!$C$10,1+F15*RSA!$C$17,"")</f>
        <v>2881</v>
      </c>
      <c r="H15" s="11">
        <f>IF(RSA!$C$10,G15/RSA!$C$18,"")</f>
        <v>411.57142857142856</v>
      </c>
      <c r="I15" s="1">
        <f>IF(RSA!$C$10,MOD(G15,RSA!$C$18),"")</f>
        <v>4</v>
      </c>
      <c r="J15" s="1" t="str">
        <f>IF(RSA!$C$10,IF(AND(F15&lt;RSA!$C$18,I15=0),H15,""),"")</f>
        <v/>
      </c>
      <c r="K15" s="1"/>
      <c r="L15" s="1"/>
      <c r="M15" s="1"/>
      <c r="N15" s="1">
        <v>17</v>
      </c>
    </row>
    <row r="16" spans="1:14" ht="21.95" customHeight="1">
      <c r="A16" s="1">
        <v>9</v>
      </c>
      <c r="B16" s="1">
        <f>IF(RSA!$C$10,GCD(A16,RSA!$C$17),"")</f>
        <v>3</v>
      </c>
      <c r="C16" s="1" t="b">
        <f>IF(RSA!$C$10,AND(A16&lt;RSA!$C$16,B16=1),FALSE)</f>
        <v>0</v>
      </c>
      <c r="D16" s="1" t="str">
        <f t="shared" si="0"/>
        <v/>
      </c>
      <c r="E16" s="1"/>
      <c r="F16" s="1">
        <v>7</v>
      </c>
      <c r="G16" s="1">
        <f>IF(RSA!$C$10,1+F16*RSA!$C$17,"")</f>
        <v>3361</v>
      </c>
      <c r="H16" s="11">
        <f>IF(RSA!$C$10,G16/RSA!$C$18,"")</f>
        <v>480.14285714285717</v>
      </c>
      <c r="I16" s="1">
        <f>IF(RSA!$C$10,MOD(G16,RSA!$C$18),"")</f>
        <v>1</v>
      </c>
      <c r="J16" s="1" t="str">
        <f>IF(RSA!$C$10,IF(AND(F16&lt;RSA!$C$18,I16=0),H16,""),"")</f>
        <v/>
      </c>
      <c r="K16" s="1"/>
      <c r="L16" s="1"/>
      <c r="M16" s="1"/>
      <c r="N16" s="1">
        <v>19</v>
      </c>
    </row>
    <row r="17" spans="1:14" ht="21.95" customHeight="1">
      <c r="A17" s="1">
        <v>10</v>
      </c>
      <c r="B17" s="1">
        <f>IF(RSA!$C$10,GCD(A17,RSA!$C$17),"")</f>
        <v>10</v>
      </c>
      <c r="C17" s="1" t="b">
        <f>IF(RSA!$C$10,AND(A17&lt;RSA!$C$16,B17=1),FALSE)</f>
        <v>0</v>
      </c>
      <c r="D17" s="1" t="str">
        <f t="shared" si="0"/>
        <v/>
      </c>
      <c r="E17" s="1"/>
      <c r="F17" s="1">
        <v>8</v>
      </c>
      <c r="G17" s="1">
        <f>IF(RSA!$C$10,1+F17*RSA!$C$17,"")</f>
        <v>3841</v>
      </c>
      <c r="H17" s="11">
        <f>IF(RSA!$C$10,G17/RSA!$C$18,"")</f>
        <v>548.71428571428567</v>
      </c>
      <c r="I17" s="1">
        <f>IF(RSA!$C$10,MOD(G17,RSA!$C$18),"")</f>
        <v>5</v>
      </c>
      <c r="J17" s="1" t="str">
        <f>IF(RSA!$C$10,IF(AND(F17&lt;RSA!$C$18,I17=0),H17,""),"")</f>
        <v/>
      </c>
      <c r="K17" s="1"/>
      <c r="L17" s="1"/>
      <c r="M17" s="1"/>
      <c r="N17" s="1">
        <v>23</v>
      </c>
    </row>
    <row r="18" spans="1:14" ht="21.95" customHeight="1">
      <c r="A18" s="1">
        <v>11</v>
      </c>
      <c r="B18" s="1">
        <f>IF(RSA!$C$10,GCD(A18,RSA!$C$17),"")</f>
        <v>1</v>
      </c>
      <c r="C18" s="1" t="b">
        <f>IF(RSA!$C$10,AND(A18&lt;RSA!$C$16,B18=1),FALSE)</f>
        <v>1</v>
      </c>
      <c r="D18" s="1">
        <f t="shared" si="0"/>
        <v>11</v>
      </c>
      <c r="E18" s="1"/>
      <c r="F18" s="1">
        <v>9</v>
      </c>
      <c r="G18" s="1">
        <f>IF(RSA!$C$10,1+F18*RSA!$C$17,"")</f>
        <v>4321</v>
      </c>
      <c r="H18" s="11">
        <f>IF(RSA!$C$10,G18/RSA!$C$18,"")</f>
        <v>617.28571428571433</v>
      </c>
      <c r="I18" s="1">
        <f>IF(RSA!$C$10,MOD(G18,RSA!$C$18),"")</f>
        <v>2</v>
      </c>
      <c r="J18" s="1" t="str">
        <f>IF(RSA!$C$10,IF(AND(F18&lt;RSA!$C$18,I18=0),H18,""),"")</f>
        <v/>
      </c>
      <c r="K18" s="1"/>
      <c r="L18" s="1"/>
      <c r="M18" s="1"/>
      <c r="N18" s="1">
        <v>29</v>
      </c>
    </row>
    <row r="19" spans="1:14" ht="21.95" customHeight="1">
      <c r="A19" s="1">
        <v>12</v>
      </c>
      <c r="B19" s="1">
        <f>IF(RSA!$C$10,GCD(A19,RSA!$C$17),"")</f>
        <v>12</v>
      </c>
      <c r="C19" s="1" t="b">
        <f>IF(RSA!$C$10,AND(A19&lt;RSA!$C$16,B19=1),FALSE)</f>
        <v>0</v>
      </c>
      <c r="D19" s="1" t="str">
        <f t="shared" si="0"/>
        <v/>
      </c>
      <c r="E19" s="1"/>
      <c r="F19" s="1">
        <v>10</v>
      </c>
      <c r="G19" s="1">
        <f>IF(RSA!$C$10,1+F19*RSA!$C$17,"")</f>
        <v>4801</v>
      </c>
      <c r="H19" s="11">
        <f>IF(RSA!$C$10,G19/RSA!$C$18,"")</f>
        <v>685.85714285714289</v>
      </c>
      <c r="I19" s="1">
        <f>IF(RSA!$C$10,MOD(G19,RSA!$C$18),"")</f>
        <v>6</v>
      </c>
      <c r="J19" s="1" t="str">
        <f>IF(RSA!$C$10,IF(AND(F19&lt;RSA!$C$18,I19=0),H19,""),"")</f>
        <v/>
      </c>
      <c r="K19" s="1"/>
      <c r="L19" s="1"/>
      <c r="M19" s="1"/>
      <c r="N19" s="1">
        <v>31</v>
      </c>
    </row>
    <row r="20" spans="1:14" ht="21.95" customHeight="1">
      <c r="A20" s="1">
        <v>13</v>
      </c>
      <c r="B20" s="1">
        <f>IF(RSA!$C$10,GCD(A20,RSA!$C$17),"")</f>
        <v>1</v>
      </c>
      <c r="C20" s="1" t="b">
        <f>IF(RSA!$C$10,AND(A20&lt;RSA!$C$16,B20=1),FALSE)</f>
        <v>1</v>
      </c>
      <c r="D20" s="1">
        <f t="shared" si="0"/>
        <v>13</v>
      </c>
      <c r="E20" s="1"/>
      <c r="F20" s="1">
        <v>11</v>
      </c>
      <c r="G20" s="1">
        <f>IF(RSA!$C$10,1+F20*RSA!$C$17,"")</f>
        <v>5281</v>
      </c>
      <c r="H20" s="11">
        <f>IF(RSA!$C$10,G20/RSA!$C$18,"")</f>
        <v>754.42857142857144</v>
      </c>
      <c r="I20" s="1">
        <f>IF(RSA!$C$10,MOD(G20,RSA!$C$18),"")</f>
        <v>3</v>
      </c>
      <c r="J20" s="1" t="str">
        <f>IF(RSA!$C$10,IF(AND(F20&lt;RSA!$C$18,I20=0),H20,""),"")</f>
        <v/>
      </c>
      <c r="K20" s="1"/>
      <c r="L20" s="1"/>
      <c r="M20" s="1"/>
      <c r="N20" s="1">
        <v>37</v>
      </c>
    </row>
    <row r="21" spans="1:14" ht="21.95" customHeight="1">
      <c r="A21" s="1">
        <v>14</v>
      </c>
      <c r="B21" s="1">
        <f>IF(RSA!$C$10,GCD(A21,RSA!$C$17),"")</f>
        <v>2</v>
      </c>
      <c r="C21" s="1" t="b">
        <f>IF(RSA!$C$10,AND(A21&lt;RSA!$C$16,B21=1),FALSE)</f>
        <v>0</v>
      </c>
      <c r="D21" s="1" t="str">
        <f t="shared" si="0"/>
        <v/>
      </c>
      <c r="E21" s="1"/>
      <c r="F21" s="1">
        <v>12</v>
      </c>
      <c r="G21" s="1">
        <f>IF(RSA!$C$10,1+F21*RSA!$C$17,"")</f>
        <v>5761</v>
      </c>
      <c r="H21" s="11">
        <f>IF(RSA!$C$10,G21/RSA!$C$18,"")</f>
        <v>823</v>
      </c>
      <c r="I21" s="1">
        <f>IF(RSA!$C$10,MOD(G21,RSA!$C$18),"")</f>
        <v>0</v>
      </c>
      <c r="J21" s="1" t="str">
        <f>IF(RSA!$C$10,IF(AND(F21&lt;RSA!$C$18,I21=0),H21,""),"")</f>
        <v/>
      </c>
      <c r="K21" s="1"/>
      <c r="L21" s="1"/>
      <c r="M21" s="1"/>
      <c r="N21" s="1">
        <v>41</v>
      </c>
    </row>
    <row r="22" spans="1:14" ht="21.95" customHeight="1">
      <c r="A22" s="1">
        <v>15</v>
      </c>
      <c r="B22" s="1">
        <f>IF(RSA!$C$10,GCD(A22,RSA!$C$17),"")</f>
        <v>15</v>
      </c>
      <c r="C22" s="1" t="b">
        <f>IF(RSA!$C$10,AND(A22&lt;RSA!$C$16,B22=1),FALSE)</f>
        <v>0</v>
      </c>
      <c r="D22" s="1" t="str">
        <f t="shared" si="0"/>
        <v/>
      </c>
      <c r="E22" s="1"/>
      <c r="F22" s="1">
        <v>13</v>
      </c>
      <c r="G22" s="1">
        <f>IF(RSA!$C$10,1+F22*RSA!$C$17,"")</f>
        <v>6241</v>
      </c>
      <c r="H22" s="11">
        <f>IF(RSA!$C$10,G22/RSA!$C$18,"")</f>
        <v>891.57142857142856</v>
      </c>
      <c r="I22" s="1">
        <f>IF(RSA!$C$10,MOD(G22,RSA!$C$18),"")</f>
        <v>4</v>
      </c>
      <c r="J22" s="1" t="str">
        <f>IF(RSA!$C$10,IF(AND(F22&lt;RSA!$C$18,I22=0),H22,""),"")</f>
        <v/>
      </c>
      <c r="K22" s="1"/>
      <c r="L22" s="1"/>
      <c r="M22" s="1"/>
      <c r="N22" s="1">
        <v>43</v>
      </c>
    </row>
    <row r="23" spans="1:14" ht="21.95" customHeight="1">
      <c r="A23" s="1">
        <v>16</v>
      </c>
      <c r="B23" s="1">
        <f>IF(RSA!$C$10,GCD(A23,RSA!$C$17),"")</f>
        <v>16</v>
      </c>
      <c r="C23" s="1" t="b">
        <f>IF(RSA!$C$10,AND(A23&lt;RSA!$C$16,B23=1),FALSE)</f>
        <v>0</v>
      </c>
      <c r="D23" s="1" t="str">
        <f t="shared" si="0"/>
        <v/>
      </c>
      <c r="E23" s="1"/>
      <c r="F23" s="1">
        <v>14</v>
      </c>
      <c r="G23" s="1">
        <f>IF(RSA!$C$10,1+F23*RSA!$C$17,"")</f>
        <v>6721</v>
      </c>
      <c r="H23" s="11">
        <f>IF(RSA!$C$10,G23/RSA!$C$18,"")</f>
        <v>960.14285714285711</v>
      </c>
      <c r="I23" s="1">
        <f>IF(RSA!$C$10,MOD(G23,RSA!$C$18),"")</f>
        <v>1</v>
      </c>
      <c r="J23" s="1" t="str">
        <f>IF(RSA!$C$10,IF(AND(F23&lt;RSA!$C$18,I23=0),H23,""),"")</f>
        <v/>
      </c>
      <c r="K23" s="1"/>
      <c r="L23" s="1"/>
      <c r="M23" s="1"/>
      <c r="N23" s="1">
        <v>47</v>
      </c>
    </row>
    <row r="24" spans="1:14" ht="21.95" customHeight="1">
      <c r="A24" s="1">
        <v>17</v>
      </c>
      <c r="B24" s="1">
        <f>IF(RSA!$C$10,GCD(A24,RSA!$C$17),"")</f>
        <v>1</v>
      </c>
      <c r="C24" s="1" t="b">
        <f>IF(RSA!$C$10,AND(A24&lt;RSA!$C$16,B24=1),FALSE)</f>
        <v>1</v>
      </c>
      <c r="D24" s="1">
        <f t="shared" si="0"/>
        <v>17</v>
      </c>
      <c r="E24" s="1"/>
      <c r="F24" s="1">
        <v>15</v>
      </c>
      <c r="G24" s="1">
        <f>IF(RSA!$C$10,1+F24*RSA!$C$17,"")</f>
        <v>7201</v>
      </c>
      <c r="H24" s="11">
        <f>IF(RSA!$C$10,G24/RSA!$C$18,"")</f>
        <v>1028.7142857142858</v>
      </c>
      <c r="I24" s="1">
        <f>IF(RSA!$C$10,MOD(G24,RSA!$C$18),"")</f>
        <v>5</v>
      </c>
      <c r="J24" s="1" t="str">
        <f>IF(RSA!$C$10,IF(AND(F24&lt;RSA!$C$18,I24=0),H24,""),"")</f>
        <v/>
      </c>
      <c r="K24" s="1"/>
      <c r="L24" s="1"/>
      <c r="M24" s="1"/>
      <c r="N24" s="1">
        <v>53</v>
      </c>
    </row>
    <row r="25" spans="1:14" ht="21.95" customHeight="1">
      <c r="A25" s="1">
        <v>18</v>
      </c>
      <c r="B25" s="1">
        <f>IF(RSA!$C$10,GCD(A25,RSA!$C$17),"")</f>
        <v>6</v>
      </c>
      <c r="C25" s="1" t="b">
        <f>IF(RSA!$C$10,AND(A25&lt;RSA!$C$16,B25=1),FALSE)</f>
        <v>0</v>
      </c>
      <c r="D25" s="1" t="str">
        <f t="shared" si="0"/>
        <v/>
      </c>
      <c r="E25" s="1"/>
      <c r="F25" s="1">
        <v>16</v>
      </c>
      <c r="G25" s="1">
        <f>IF(RSA!$C$10,1+F25*RSA!$C$17,"")</f>
        <v>7681</v>
      </c>
      <c r="H25" s="11">
        <f>IF(RSA!$C$10,G25/RSA!$C$18,"")</f>
        <v>1097.2857142857142</v>
      </c>
      <c r="I25" s="1">
        <f>IF(RSA!$C$10,MOD(G25,RSA!$C$18),"")</f>
        <v>2</v>
      </c>
      <c r="J25" s="1" t="str">
        <f>IF(RSA!$C$10,IF(AND(F25&lt;RSA!$C$18,I25=0),H25,""),"")</f>
        <v/>
      </c>
      <c r="K25" s="1"/>
      <c r="L25" s="1"/>
      <c r="M25" s="1"/>
      <c r="N25" s="1">
        <v>59</v>
      </c>
    </row>
    <row r="26" spans="1:14" ht="21.95" customHeight="1">
      <c r="A26" s="1">
        <v>19</v>
      </c>
      <c r="B26" s="1">
        <f>IF(RSA!$C$10,GCD(A26,RSA!$C$17),"")</f>
        <v>1</v>
      </c>
      <c r="C26" s="1" t="b">
        <f>IF(RSA!$C$10,AND(A26&lt;RSA!$C$16,B26=1),FALSE)</f>
        <v>1</v>
      </c>
      <c r="D26" s="1">
        <f t="shared" si="0"/>
        <v>19</v>
      </c>
      <c r="E26" s="1"/>
      <c r="F26" s="1">
        <v>17</v>
      </c>
      <c r="G26" s="1">
        <f>IF(RSA!$C$10,1+F26*RSA!$C$17,"")</f>
        <v>8161</v>
      </c>
      <c r="H26" s="11">
        <f>IF(RSA!$C$10,G26/RSA!$C$18,"")</f>
        <v>1165.8571428571429</v>
      </c>
      <c r="I26" s="1">
        <f>IF(RSA!$C$10,MOD(G26,RSA!$C$18),"")</f>
        <v>6</v>
      </c>
      <c r="J26" s="1" t="str">
        <f>IF(RSA!$C$10,IF(AND(F26&lt;RSA!$C$18,I26=0),H26,""),"")</f>
        <v/>
      </c>
      <c r="K26" s="1"/>
      <c r="L26" s="1"/>
      <c r="M26" s="1"/>
      <c r="N26" s="1">
        <v>61</v>
      </c>
    </row>
    <row r="27" spans="1:14" ht="21.95" customHeight="1">
      <c r="A27" s="1">
        <v>20</v>
      </c>
      <c r="B27" s="1">
        <f>IF(RSA!$C$10,GCD(A27,RSA!$C$17),"")</f>
        <v>20</v>
      </c>
      <c r="C27" s="1" t="b">
        <f>IF(RSA!$C$10,AND(A27&lt;RSA!$C$16,B27=1),FALSE)</f>
        <v>0</v>
      </c>
      <c r="D27" s="1" t="str">
        <f t="shared" si="0"/>
        <v/>
      </c>
      <c r="E27" s="1"/>
      <c r="F27" s="1">
        <v>18</v>
      </c>
      <c r="G27" s="1">
        <f>IF(RSA!$C$10,1+F27*RSA!$C$17,"")</f>
        <v>8641</v>
      </c>
      <c r="H27" s="11">
        <f>IF(RSA!$C$10,G27/RSA!$C$18,"")</f>
        <v>1234.4285714285713</v>
      </c>
      <c r="I27" s="1">
        <f>IF(RSA!$C$10,MOD(G27,RSA!$C$18),"")</f>
        <v>3</v>
      </c>
      <c r="J27" s="1" t="str">
        <f>IF(RSA!$C$10,IF(AND(F27&lt;RSA!$C$18,I27=0),H27,""),"")</f>
        <v/>
      </c>
      <c r="K27" s="1"/>
      <c r="L27" s="1"/>
      <c r="M27" s="1"/>
      <c r="N27" s="1">
        <v>67</v>
      </c>
    </row>
    <row r="28" spans="1:14" ht="21.95" customHeight="1">
      <c r="A28" s="1">
        <v>21</v>
      </c>
      <c r="B28" s="1">
        <f>IF(RSA!$C$10,GCD(A28,RSA!$C$17),"")</f>
        <v>3</v>
      </c>
      <c r="C28" s="1" t="b">
        <f>IF(RSA!$C$10,AND(A28&lt;RSA!$C$16,B28=1),FALSE)</f>
        <v>0</v>
      </c>
      <c r="D28" s="1" t="str">
        <f t="shared" si="0"/>
        <v/>
      </c>
      <c r="E28" s="1"/>
      <c r="F28" s="1">
        <v>19</v>
      </c>
      <c r="G28" s="1">
        <f>IF(RSA!$C$10,1+F28*RSA!$C$17,"")</f>
        <v>9121</v>
      </c>
      <c r="H28" s="11">
        <f>IF(RSA!$C$10,G28/RSA!$C$18,"")</f>
        <v>1303</v>
      </c>
      <c r="I28" s="1">
        <f>IF(RSA!$C$10,MOD(G28,RSA!$C$18),"")</f>
        <v>0</v>
      </c>
      <c r="J28" s="1" t="str">
        <f>IF(RSA!$C$10,IF(AND(F28&lt;RSA!$C$18,I28=0),H28,""),"")</f>
        <v/>
      </c>
      <c r="K28" s="1"/>
      <c r="L28" s="1"/>
      <c r="M28" s="1"/>
      <c r="N28" s="1">
        <v>71</v>
      </c>
    </row>
    <row r="29" spans="1:14" ht="21.95" customHeight="1">
      <c r="A29" s="1">
        <v>22</v>
      </c>
      <c r="B29" s="1">
        <f>IF(RSA!$C$10,GCD(A29,RSA!$C$17),"")</f>
        <v>2</v>
      </c>
      <c r="C29" s="1" t="b">
        <f>IF(RSA!$C$10,AND(A29&lt;RSA!$C$16,B29=1),FALSE)</f>
        <v>0</v>
      </c>
      <c r="D29" s="1" t="str">
        <f t="shared" si="0"/>
        <v/>
      </c>
      <c r="E29" s="1"/>
      <c r="F29" s="1">
        <v>20</v>
      </c>
      <c r="G29" s="1">
        <f>IF(RSA!$C$10,1+F29*RSA!$C$17,"")</f>
        <v>9601</v>
      </c>
      <c r="H29" s="11">
        <f>IF(RSA!$C$10,G29/RSA!$C$18,"")</f>
        <v>1371.5714285714287</v>
      </c>
      <c r="I29" s="1">
        <f>IF(RSA!$C$10,MOD(G29,RSA!$C$18),"")</f>
        <v>4</v>
      </c>
      <c r="J29" s="1" t="str">
        <f>IF(RSA!$C$10,IF(AND(F29&lt;RSA!$C$18,I29=0),H29,""),"")</f>
        <v/>
      </c>
      <c r="K29" s="1"/>
      <c r="L29" s="1"/>
      <c r="M29" s="1"/>
      <c r="N29" s="1">
        <v>73</v>
      </c>
    </row>
    <row r="30" spans="1:14" ht="21.95" customHeight="1">
      <c r="A30" s="1">
        <v>23</v>
      </c>
      <c r="B30" s="1">
        <f>IF(RSA!$C$10,GCD(A30,RSA!$C$17),"")</f>
        <v>1</v>
      </c>
      <c r="C30" s="1" t="b">
        <f>IF(RSA!$C$10,AND(A30&lt;RSA!$C$16,B30=1),FALSE)</f>
        <v>1</v>
      </c>
      <c r="D30" s="1">
        <f t="shared" si="0"/>
        <v>23</v>
      </c>
      <c r="E30" s="1"/>
      <c r="F30" s="1">
        <v>21</v>
      </c>
      <c r="G30" s="1">
        <f>IF(RSA!$C$10,1+F30*RSA!$C$17,"")</f>
        <v>10081</v>
      </c>
      <c r="H30" s="11">
        <f>IF(RSA!$C$10,G30/RSA!$C$18,"")</f>
        <v>1440.1428571428571</v>
      </c>
      <c r="I30" s="1">
        <f>IF(RSA!$C$10,MOD(G30,RSA!$C$18),"")</f>
        <v>1</v>
      </c>
      <c r="J30" s="1" t="str">
        <f>IF(RSA!$C$10,IF(AND(F30&lt;RSA!$C$18,I30=0),H30,""),"")</f>
        <v/>
      </c>
      <c r="K30" s="1"/>
      <c r="L30" s="1"/>
      <c r="M30" s="1"/>
      <c r="N30" s="1">
        <v>79</v>
      </c>
    </row>
    <row r="31" spans="1:14" ht="21.95" customHeight="1">
      <c r="A31" s="1">
        <v>24</v>
      </c>
      <c r="B31" s="1">
        <f>IF(RSA!$C$10,GCD(A31,RSA!$C$17),"")</f>
        <v>24</v>
      </c>
      <c r="C31" s="1" t="b">
        <f>IF(RSA!$C$10,AND(A31&lt;RSA!$C$16,B31=1),FALSE)</f>
        <v>0</v>
      </c>
      <c r="D31" s="1" t="str">
        <f t="shared" si="0"/>
        <v/>
      </c>
      <c r="E31" s="1"/>
      <c r="F31" s="1">
        <v>22</v>
      </c>
      <c r="G31" s="1">
        <f>IF(RSA!$C$10,1+F31*RSA!$C$17,"")</f>
        <v>10561</v>
      </c>
      <c r="H31" s="11">
        <f>IF(RSA!$C$10,G31/RSA!$C$18,"")</f>
        <v>1508.7142857142858</v>
      </c>
      <c r="I31" s="1">
        <f>IF(RSA!$C$10,MOD(G31,RSA!$C$18),"")</f>
        <v>5</v>
      </c>
      <c r="J31" s="1" t="str">
        <f>IF(RSA!$C$10,IF(AND(F31&lt;RSA!$C$18,I31=0),H31,""),"")</f>
        <v/>
      </c>
      <c r="K31" s="1"/>
      <c r="L31" s="1"/>
      <c r="M31" s="1"/>
      <c r="N31" s="1">
        <v>83</v>
      </c>
    </row>
    <row r="32" spans="1:14" ht="21.95" customHeight="1">
      <c r="A32" s="1">
        <v>25</v>
      </c>
      <c r="B32" s="1">
        <f>IF(RSA!$C$10,GCD(A32,RSA!$C$17),"")</f>
        <v>5</v>
      </c>
      <c r="C32" s="1" t="b">
        <f>IF(RSA!$C$10,AND(A32&lt;RSA!$C$16,B32=1),FALSE)</f>
        <v>0</v>
      </c>
      <c r="D32" s="1" t="str">
        <f t="shared" si="0"/>
        <v/>
      </c>
      <c r="E32" s="1"/>
      <c r="F32" s="1">
        <v>23</v>
      </c>
      <c r="G32" s="1">
        <f>IF(RSA!$C$10,1+F32*RSA!$C$17,"")</f>
        <v>11041</v>
      </c>
      <c r="H32" s="11">
        <f>IF(RSA!$C$10,G32/RSA!$C$18,"")</f>
        <v>1577.2857142857142</v>
      </c>
      <c r="I32" s="1">
        <f>IF(RSA!$C$10,MOD(G32,RSA!$C$18),"")</f>
        <v>2</v>
      </c>
      <c r="J32" s="1" t="str">
        <f>IF(RSA!$C$10,IF(AND(F32&lt;RSA!$C$18,I32=0),H32,""),"")</f>
        <v/>
      </c>
      <c r="K32" s="1"/>
      <c r="L32" s="1"/>
      <c r="M32" s="1"/>
      <c r="N32" s="1">
        <v>89</v>
      </c>
    </row>
    <row r="33" spans="1:14" ht="21.95" customHeight="1">
      <c r="A33" s="1">
        <v>26</v>
      </c>
      <c r="B33" s="1">
        <f>IF(RSA!$C$10,GCD(A33,RSA!$C$17),"")</f>
        <v>2</v>
      </c>
      <c r="C33" s="1" t="b">
        <f>IF(RSA!$C$10,AND(A33&lt;RSA!$C$16,B33=1),FALSE)</f>
        <v>0</v>
      </c>
      <c r="D33" s="1" t="str">
        <f t="shared" si="0"/>
        <v/>
      </c>
      <c r="E33" s="1"/>
      <c r="F33" s="1">
        <v>24</v>
      </c>
      <c r="G33" s="1">
        <f>IF(RSA!$C$10,1+F33*RSA!$C$17,"")</f>
        <v>11521</v>
      </c>
      <c r="H33" s="11">
        <f>IF(RSA!$C$10,G33/RSA!$C$18,"")</f>
        <v>1645.8571428571429</v>
      </c>
      <c r="I33" s="1">
        <f>IF(RSA!$C$10,MOD(G33,RSA!$C$18),"")</f>
        <v>6</v>
      </c>
      <c r="J33" s="1" t="str">
        <f>IF(RSA!$C$10,IF(AND(F33&lt;RSA!$C$18,I33=0),H33,""),"")</f>
        <v/>
      </c>
      <c r="K33" s="1"/>
      <c r="L33" s="1"/>
      <c r="M33" s="1"/>
      <c r="N33" s="1">
        <v>97</v>
      </c>
    </row>
    <row r="34" spans="1:14" ht="21.95" customHeight="1">
      <c r="A34" s="1">
        <v>27</v>
      </c>
      <c r="B34" s="1">
        <f>IF(RSA!$C$10,GCD(A34,RSA!$C$17),"")</f>
        <v>3</v>
      </c>
      <c r="C34" s="1" t="b">
        <f>IF(RSA!$C$10,AND(A34&lt;RSA!$C$16,B34=1),FALSE)</f>
        <v>0</v>
      </c>
      <c r="D34" s="1" t="str">
        <f t="shared" si="0"/>
        <v/>
      </c>
      <c r="E34" s="1"/>
      <c r="F34" s="1">
        <v>25</v>
      </c>
      <c r="G34" s="1">
        <f>IF(RSA!$C$10,1+F34*RSA!$C$17,"")</f>
        <v>12001</v>
      </c>
      <c r="H34" s="11">
        <f>IF(RSA!$C$10,G34/RSA!$C$18,"")</f>
        <v>1714.4285714285713</v>
      </c>
      <c r="I34" s="1">
        <f>IF(RSA!$C$10,MOD(G34,RSA!$C$18),"")</f>
        <v>3</v>
      </c>
      <c r="J34" s="1" t="str">
        <f>IF(RSA!$C$10,IF(AND(F34&lt;RSA!$C$18,I34=0),H34,""),"")</f>
        <v/>
      </c>
      <c r="K34" s="1"/>
      <c r="L34" s="1"/>
      <c r="M34" s="1"/>
      <c r="N34" s="1"/>
    </row>
    <row r="35" spans="1:14" ht="21.95" customHeight="1">
      <c r="A35" s="1">
        <v>28</v>
      </c>
      <c r="B35" s="1">
        <f>IF(RSA!$C$10,GCD(A35,RSA!$C$17),"")</f>
        <v>4</v>
      </c>
      <c r="C35" s="1" t="b">
        <f>IF(RSA!$C$10,AND(A35&lt;RSA!$C$16,B35=1),FALSE)</f>
        <v>0</v>
      </c>
      <c r="D35" s="1" t="str">
        <f t="shared" si="0"/>
        <v/>
      </c>
      <c r="E35" s="1"/>
      <c r="F35" s="1">
        <v>26</v>
      </c>
      <c r="G35" s="1">
        <f>IF(RSA!$C$10,1+F35*RSA!$C$17,"")</f>
        <v>12481</v>
      </c>
      <c r="H35" s="11">
        <f>IF(RSA!$C$10,G35/RSA!$C$18,"")</f>
        <v>1783</v>
      </c>
      <c r="I35" s="1">
        <f>IF(RSA!$C$10,MOD(G35,RSA!$C$18),"")</f>
        <v>0</v>
      </c>
      <c r="J35" s="1" t="str">
        <f>IF(RSA!$C$10,IF(AND(F35&lt;RSA!$C$18,I35=0),H35,""),"")</f>
        <v/>
      </c>
      <c r="K35" s="1"/>
      <c r="L35" s="1"/>
      <c r="M35" s="1"/>
      <c r="N35" s="1"/>
    </row>
    <row r="36" spans="1:14" ht="21.95" customHeight="1">
      <c r="A36" s="1">
        <v>29</v>
      </c>
      <c r="B36" s="1">
        <f>IF(RSA!$C$10,GCD(A36,RSA!$C$17),"")</f>
        <v>1</v>
      </c>
      <c r="C36" s="1" t="b">
        <f>IF(RSA!$C$10,AND(A36&lt;RSA!$C$16,B36=1),FALSE)</f>
        <v>1</v>
      </c>
      <c r="D36" s="1">
        <f t="shared" si="0"/>
        <v>29</v>
      </c>
      <c r="E36" s="1"/>
      <c r="F36" s="1">
        <v>27</v>
      </c>
      <c r="G36" s="1">
        <f>IF(RSA!$C$10,1+F36*RSA!$C$17,"")</f>
        <v>12961</v>
      </c>
      <c r="H36" s="11">
        <f>IF(RSA!$C$10,G36/RSA!$C$18,"")</f>
        <v>1851.5714285714287</v>
      </c>
      <c r="I36" s="1">
        <f>IF(RSA!$C$10,MOD(G36,RSA!$C$18),"")</f>
        <v>4</v>
      </c>
      <c r="J36" s="1" t="str">
        <f>IF(RSA!$C$10,IF(AND(F36&lt;RSA!$C$18,I36=0),H36,""),"")</f>
        <v/>
      </c>
      <c r="K36" s="1"/>
      <c r="L36" s="1"/>
      <c r="M36" s="1"/>
      <c r="N36" s="1"/>
    </row>
    <row r="37" spans="1:14" ht="21.95" customHeight="1">
      <c r="A37" s="1">
        <v>30</v>
      </c>
      <c r="B37" s="1">
        <f>IF(RSA!$C$10,GCD(A37,RSA!$C$17),"")</f>
        <v>30</v>
      </c>
      <c r="C37" s="1" t="b">
        <f>IF(RSA!$C$10,AND(A37&lt;RSA!$C$16,B37=1),FALSE)</f>
        <v>0</v>
      </c>
      <c r="D37" s="1" t="str">
        <f t="shared" si="0"/>
        <v/>
      </c>
      <c r="E37" s="1"/>
      <c r="F37" s="1">
        <v>28</v>
      </c>
      <c r="G37" s="1">
        <f>IF(RSA!$C$10,1+F37*RSA!$C$17,"")</f>
        <v>13441</v>
      </c>
      <c r="H37" s="11">
        <f>IF(RSA!$C$10,G37/RSA!$C$18,"")</f>
        <v>1920.1428571428571</v>
      </c>
      <c r="I37" s="1">
        <f>IF(RSA!$C$10,MOD(G37,RSA!$C$18),"")</f>
        <v>1</v>
      </c>
      <c r="J37" s="1" t="str">
        <f>IF(RSA!$C$10,IF(AND(F37&lt;RSA!$C$18,I37=0),H37,""),"")</f>
        <v/>
      </c>
      <c r="K37" s="1"/>
      <c r="L37" s="1"/>
      <c r="M37" s="1"/>
      <c r="N37" s="1"/>
    </row>
    <row r="38" spans="1:14" ht="21.95" customHeight="1">
      <c r="A38" s="1">
        <v>31</v>
      </c>
      <c r="B38" s="1">
        <f>IF(RSA!$C$10,GCD(A38,RSA!$C$17),"")</f>
        <v>1</v>
      </c>
      <c r="C38" s="1" t="b">
        <f>IF(RSA!$C$10,AND(A38&lt;RSA!$C$16,B38=1),FALSE)</f>
        <v>1</v>
      </c>
      <c r="D38" s="1">
        <f t="shared" si="0"/>
        <v>31</v>
      </c>
      <c r="E38" s="1"/>
      <c r="F38" s="1">
        <v>29</v>
      </c>
      <c r="G38" s="1">
        <f>IF(RSA!$C$10,1+F38*RSA!$C$17,"")</f>
        <v>13921</v>
      </c>
      <c r="H38" s="11">
        <f>IF(RSA!$C$10,G38/RSA!$C$18,"")</f>
        <v>1988.7142857142858</v>
      </c>
      <c r="I38" s="1">
        <f>IF(RSA!$C$10,MOD(G38,RSA!$C$18),"")</f>
        <v>5</v>
      </c>
      <c r="J38" s="1" t="str">
        <f>IF(RSA!$C$10,IF(AND(F38&lt;RSA!$C$18,I38=0),H38,""),"")</f>
        <v/>
      </c>
      <c r="K38" s="1"/>
      <c r="L38" s="1"/>
      <c r="M38" s="1"/>
      <c r="N38" s="1"/>
    </row>
    <row r="39" spans="1:14" ht="21.95" customHeight="1">
      <c r="A39" s="1">
        <v>32</v>
      </c>
      <c r="B39" s="1">
        <f>IF(RSA!$C$10,GCD(A39,RSA!$C$17),"")</f>
        <v>32</v>
      </c>
      <c r="C39" s="1" t="b">
        <f>IF(RSA!$C$10,AND(A39&lt;RSA!$C$16,B39=1),FALSE)</f>
        <v>0</v>
      </c>
      <c r="D39" s="1" t="str">
        <f t="shared" si="0"/>
        <v/>
      </c>
      <c r="E39" s="1"/>
      <c r="F39" s="1">
        <v>30</v>
      </c>
      <c r="G39" s="1">
        <f>IF(RSA!$C$10,1+F39*RSA!$C$17,"")</f>
        <v>14401</v>
      </c>
      <c r="H39" s="11">
        <f>IF(RSA!$C$10,G39/RSA!$C$18,"")</f>
        <v>2057.2857142857142</v>
      </c>
      <c r="I39" s="1">
        <f>IF(RSA!$C$10,MOD(G39,RSA!$C$18),"")</f>
        <v>2</v>
      </c>
      <c r="J39" s="1" t="str">
        <f>IF(RSA!$C$10,IF(AND(F39&lt;RSA!$C$18,I39=0),H39,""),"")</f>
        <v/>
      </c>
      <c r="K39" s="1"/>
      <c r="L39" s="1"/>
      <c r="M39" s="1"/>
      <c r="N39" s="1"/>
    </row>
    <row r="40" spans="1:14" ht="21.95" customHeight="1">
      <c r="A40" s="1">
        <v>33</v>
      </c>
      <c r="B40" s="1">
        <f>IF(RSA!$C$10,GCD(A40,RSA!$C$17),"")</f>
        <v>3</v>
      </c>
      <c r="C40" s="1" t="b">
        <f>IF(RSA!$C$10,AND(A40&lt;RSA!$C$16,B40=1),FALSE)</f>
        <v>0</v>
      </c>
      <c r="D40" s="1" t="str">
        <f t="shared" si="0"/>
        <v/>
      </c>
      <c r="E40" s="1"/>
      <c r="F40" s="1">
        <v>31</v>
      </c>
      <c r="G40" s="1">
        <f>IF(RSA!$C$10,1+F40*RSA!$C$17,"")</f>
        <v>14881</v>
      </c>
      <c r="H40" s="11">
        <f>IF(RSA!$C$10,G40/RSA!$C$18,"")</f>
        <v>2125.8571428571427</v>
      </c>
      <c r="I40" s="1">
        <f>IF(RSA!$C$10,MOD(G40,RSA!$C$18),"")</f>
        <v>6</v>
      </c>
      <c r="J40" s="1" t="str">
        <f>IF(RSA!$C$10,IF(AND(F40&lt;RSA!$C$18,I40=0),H40,""),"")</f>
        <v/>
      </c>
      <c r="K40" s="1"/>
      <c r="L40" s="1"/>
      <c r="M40" s="1"/>
      <c r="N40" s="1"/>
    </row>
    <row r="41" spans="1:14" ht="21.95" customHeight="1">
      <c r="A41" s="1">
        <v>34</v>
      </c>
      <c r="B41" s="1">
        <f>IF(RSA!$C$10,GCD(A41,RSA!$C$17),"")</f>
        <v>2</v>
      </c>
      <c r="C41" s="1" t="b">
        <f>IF(RSA!$C$10,AND(A41&lt;RSA!$C$16,B41=1),FALSE)</f>
        <v>0</v>
      </c>
      <c r="D41" s="1" t="str">
        <f t="shared" ref="D41:D72" si="1">IF(C41,A41,"")</f>
        <v/>
      </c>
      <c r="E41" s="1"/>
      <c r="F41" s="1">
        <v>32</v>
      </c>
      <c r="G41" s="1">
        <f>IF(RSA!$C$10,1+F41*RSA!$C$17,"")</f>
        <v>15361</v>
      </c>
      <c r="H41" s="11">
        <f>IF(RSA!$C$10,G41/RSA!$C$18,"")</f>
        <v>2194.4285714285716</v>
      </c>
      <c r="I41" s="1">
        <f>IF(RSA!$C$10,MOD(G41,RSA!$C$18),"")</f>
        <v>3</v>
      </c>
      <c r="J41" s="1" t="str">
        <f>IF(RSA!$C$10,IF(AND(F41&lt;RSA!$C$18,I41=0),H41,""),"")</f>
        <v/>
      </c>
      <c r="K41" s="1"/>
      <c r="L41" s="1"/>
      <c r="M41" s="1"/>
      <c r="N41" s="1"/>
    </row>
    <row r="42" spans="1:14" ht="21.95" customHeight="1">
      <c r="A42" s="1">
        <v>35</v>
      </c>
      <c r="B42" s="1">
        <f>IF(RSA!$C$10,GCD(A42,RSA!$C$17),"")</f>
        <v>5</v>
      </c>
      <c r="C42" s="1" t="b">
        <f>IF(RSA!$C$10,AND(A42&lt;RSA!$C$16,B42=1),FALSE)</f>
        <v>0</v>
      </c>
      <c r="D42" s="1" t="str">
        <f t="shared" si="1"/>
        <v/>
      </c>
      <c r="E42" s="1"/>
      <c r="F42" s="1">
        <v>33</v>
      </c>
      <c r="G42" s="1">
        <f>IF(RSA!$C$10,1+F42*RSA!$C$17,"")</f>
        <v>15841</v>
      </c>
      <c r="H42" s="11">
        <f>IF(RSA!$C$10,G42/RSA!$C$18,"")</f>
        <v>2263</v>
      </c>
      <c r="I42" s="1">
        <f>IF(RSA!$C$10,MOD(G42,RSA!$C$18),"")</f>
        <v>0</v>
      </c>
      <c r="J42" s="1" t="str">
        <f>IF(RSA!$C$10,IF(AND(F42&lt;RSA!$C$18,I42=0),H42,""),"")</f>
        <v/>
      </c>
      <c r="K42" s="1"/>
      <c r="L42" s="1"/>
      <c r="M42" s="1"/>
      <c r="N42" s="1"/>
    </row>
    <row r="43" spans="1:14" ht="21.95" customHeight="1">
      <c r="A43" s="1">
        <v>36</v>
      </c>
      <c r="B43" s="1">
        <f>IF(RSA!$C$10,GCD(A43,RSA!$C$17),"")</f>
        <v>12</v>
      </c>
      <c r="C43" s="1" t="b">
        <f>IF(RSA!$C$10,AND(A43&lt;RSA!$C$16,B43=1),FALSE)</f>
        <v>0</v>
      </c>
      <c r="D43" s="1" t="str">
        <f t="shared" si="1"/>
        <v/>
      </c>
      <c r="E43" s="1"/>
      <c r="F43" s="1">
        <v>34</v>
      </c>
      <c r="G43" s="1">
        <f>IF(RSA!$C$10,1+F43*RSA!$C$17,"")</f>
        <v>16321</v>
      </c>
      <c r="H43" s="11">
        <f>IF(RSA!$C$10,G43/RSA!$C$18,"")</f>
        <v>2331.5714285714284</v>
      </c>
      <c r="I43" s="1">
        <f>IF(RSA!$C$10,MOD(G43,RSA!$C$18),"")</f>
        <v>4</v>
      </c>
      <c r="J43" s="1" t="str">
        <f>IF(RSA!$C$10,IF(AND(F43&lt;RSA!$C$18,I43=0),H43,""),"")</f>
        <v/>
      </c>
      <c r="K43" s="1"/>
      <c r="L43" s="1"/>
      <c r="M43" s="1"/>
      <c r="N43" s="1"/>
    </row>
    <row r="44" spans="1:14" ht="21.95" customHeight="1">
      <c r="A44" s="1">
        <v>37</v>
      </c>
      <c r="B44" s="1">
        <f>IF(RSA!$C$10,GCD(A44,RSA!$C$17),"")</f>
        <v>1</v>
      </c>
      <c r="C44" s="1" t="b">
        <f>IF(RSA!$C$10,AND(A44&lt;RSA!$C$16,B44=1),FALSE)</f>
        <v>1</v>
      </c>
      <c r="D44" s="1">
        <f t="shared" si="1"/>
        <v>37</v>
      </c>
      <c r="E44" s="1"/>
      <c r="F44" s="1">
        <v>35</v>
      </c>
      <c r="G44" s="1">
        <f>IF(RSA!$C$10,1+F44*RSA!$C$17,"")</f>
        <v>16801</v>
      </c>
      <c r="H44" s="11">
        <f>IF(RSA!$C$10,G44/RSA!$C$18,"")</f>
        <v>2400.1428571428573</v>
      </c>
      <c r="I44" s="1">
        <f>IF(RSA!$C$10,MOD(G44,RSA!$C$18),"")</f>
        <v>1</v>
      </c>
      <c r="J44" s="1" t="str">
        <f>IF(RSA!$C$10,IF(AND(F44&lt;RSA!$C$18,I44=0),H44,""),"")</f>
        <v/>
      </c>
      <c r="K44" s="1"/>
      <c r="L44" s="1"/>
      <c r="M44" s="1"/>
      <c r="N44" s="1"/>
    </row>
    <row r="45" spans="1:14" ht="21.95" customHeight="1">
      <c r="A45" s="1">
        <v>38</v>
      </c>
      <c r="B45" s="1">
        <f>IF(RSA!$C$10,GCD(A45,RSA!$C$17),"")</f>
        <v>2</v>
      </c>
      <c r="C45" s="1" t="b">
        <f>IF(RSA!$C$10,AND(A45&lt;RSA!$C$16,B45=1),FALSE)</f>
        <v>0</v>
      </c>
      <c r="D45" s="1" t="str">
        <f t="shared" si="1"/>
        <v/>
      </c>
      <c r="E45" s="1"/>
      <c r="F45" s="1">
        <v>36</v>
      </c>
      <c r="G45" s="1">
        <f>IF(RSA!$C$10,1+F45*RSA!$C$17,"")</f>
        <v>17281</v>
      </c>
      <c r="H45" s="11">
        <f>IF(RSA!$C$10,G45/RSA!$C$18,"")</f>
        <v>2468.7142857142858</v>
      </c>
      <c r="I45" s="1">
        <f>IF(RSA!$C$10,MOD(G45,RSA!$C$18),"")</f>
        <v>5</v>
      </c>
      <c r="J45" s="1" t="str">
        <f>IF(RSA!$C$10,IF(AND(F45&lt;RSA!$C$18,I45=0),H45,""),"")</f>
        <v/>
      </c>
      <c r="K45" s="1"/>
      <c r="L45" s="1"/>
      <c r="M45" s="1"/>
      <c r="N45" s="1"/>
    </row>
    <row r="46" spans="1:14" ht="21.95" customHeight="1">
      <c r="A46" s="1">
        <v>39</v>
      </c>
      <c r="B46" s="1">
        <f>IF(RSA!$C$10,GCD(A46,RSA!$C$17),"")</f>
        <v>3</v>
      </c>
      <c r="C46" s="1" t="b">
        <f>IF(RSA!$C$10,AND(A46&lt;RSA!$C$16,B46=1),FALSE)</f>
        <v>0</v>
      </c>
      <c r="D46" s="1" t="str">
        <f t="shared" si="1"/>
        <v/>
      </c>
      <c r="E46" s="1"/>
      <c r="F46" s="1">
        <v>37</v>
      </c>
      <c r="G46" s="1">
        <f>IF(RSA!$C$10,1+F46*RSA!$C$17,"")</f>
        <v>17761</v>
      </c>
      <c r="H46" s="11">
        <f>IF(RSA!$C$10,G46/RSA!$C$18,"")</f>
        <v>2537.2857142857142</v>
      </c>
      <c r="I46" s="1">
        <f>IF(RSA!$C$10,MOD(G46,RSA!$C$18),"")</f>
        <v>2</v>
      </c>
      <c r="J46" s="1" t="str">
        <f>IF(RSA!$C$10,IF(AND(F46&lt;RSA!$C$18,I46=0),H46,""),"")</f>
        <v/>
      </c>
      <c r="K46" s="1"/>
      <c r="L46" s="1"/>
      <c r="M46" s="1"/>
      <c r="N46" s="1"/>
    </row>
    <row r="47" spans="1:14" ht="21.95" customHeight="1">
      <c r="A47" s="1">
        <v>40</v>
      </c>
      <c r="B47" s="1">
        <f>IF(RSA!$C$10,GCD(A47,RSA!$C$17),"")</f>
        <v>40</v>
      </c>
      <c r="C47" s="1" t="b">
        <f>IF(RSA!$C$10,AND(A47&lt;RSA!$C$16,B47=1),FALSE)</f>
        <v>0</v>
      </c>
      <c r="D47" s="1" t="str">
        <f t="shared" si="1"/>
        <v/>
      </c>
      <c r="E47" s="1"/>
      <c r="F47" s="1">
        <v>38</v>
      </c>
      <c r="G47" s="1">
        <f>IF(RSA!$C$10,1+F47*RSA!$C$17,"")</f>
        <v>18241</v>
      </c>
      <c r="H47" s="11">
        <f>IF(RSA!$C$10,G47/RSA!$C$18,"")</f>
        <v>2605.8571428571427</v>
      </c>
      <c r="I47" s="1">
        <f>IF(RSA!$C$10,MOD(G47,RSA!$C$18),"")</f>
        <v>6</v>
      </c>
      <c r="J47" s="1" t="str">
        <f>IF(RSA!$C$10,IF(AND(F47&lt;RSA!$C$18,I47=0),H47,""),"")</f>
        <v/>
      </c>
      <c r="K47" s="1"/>
      <c r="L47" s="1"/>
      <c r="M47" s="1"/>
      <c r="N47" s="1"/>
    </row>
    <row r="48" spans="1:14" ht="21.95" customHeight="1">
      <c r="A48" s="1">
        <v>41</v>
      </c>
      <c r="B48" s="1">
        <f>IF(RSA!$C$10,GCD(A48,RSA!$C$17),"")</f>
        <v>1</v>
      </c>
      <c r="C48" s="1" t="b">
        <f>IF(RSA!$C$10,AND(A48&lt;RSA!$C$16,B48=1),FALSE)</f>
        <v>1</v>
      </c>
      <c r="D48" s="1">
        <f t="shared" si="1"/>
        <v>41</v>
      </c>
      <c r="E48" s="1"/>
      <c r="F48" s="1">
        <v>39</v>
      </c>
      <c r="G48" s="1">
        <f>IF(RSA!$C$10,1+F48*RSA!$C$17,"")</f>
        <v>18721</v>
      </c>
      <c r="H48" s="11">
        <f>IF(RSA!$C$10,G48/RSA!$C$18,"")</f>
        <v>2674.4285714285716</v>
      </c>
      <c r="I48" s="1">
        <f>IF(RSA!$C$10,MOD(G48,RSA!$C$18),"")</f>
        <v>3</v>
      </c>
      <c r="J48" s="1" t="str">
        <f>IF(RSA!$C$10,IF(AND(F48&lt;RSA!$C$18,I48=0),H48,""),"")</f>
        <v/>
      </c>
      <c r="K48" s="1"/>
      <c r="L48" s="1"/>
      <c r="M48" s="1"/>
      <c r="N48" s="1"/>
    </row>
    <row r="49" spans="1:14" ht="21.95" customHeight="1">
      <c r="A49" s="1">
        <v>42</v>
      </c>
      <c r="B49" s="1">
        <f>IF(RSA!$C$10,GCD(A49,RSA!$C$17),"")</f>
        <v>6</v>
      </c>
      <c r="C49" s="1" t="b">
        <f>IF(RSA!$C$10,AND(A49&lt;RSA!$C$16,B49=1),FALSE)</f>
        <v>0</v>
      </c>
      <c r="D49" s="1" t="str">
        <f t="shared" si="1"/>
        <v/>
      </c>
      <c r="E49" s="1"/>
      <c r="F49" s="1">
        <v>40</v>
      </c>
      <c r="G49" s="1">
        <f>IF(RSA!$C$10,1+F49*RSA!$C$17,"")</f>
        <v>19201</v>
      </c>
      <c r="H49" s="11">
        <f>IF(RSA!$C$10,G49/RSA!$C$18,"")</f>
        <v>2743</v>
      </c>
      <c r="I49" s="1">
        <f>IF(RSA!$C$10,MOD(G49,RSA!$C$18),"")</f>
        <v>0</v>
      </c>
      <c r="J49" s="1" t="str">
        <f>IF(RSA!$C$10,IF(AND(F49&lt;RSA!$C$18,I49=0),H49,""),"")</f>
        <v/>
      </c>
      <c r="K49" s="1"/>
      <c r="L49" s="1"/>
      <c r="M49" s="1"/>
      <c r="N49" s="1"/>
    </row>
    <row r="50" spans="1:14" ht="21.95" customHeight="1">
      <c r="A50" s="1">
        <v>43</v>
      </c>
      <c r="B50" s="1">
        <f>IF(RSA!$C$10,GCD(A50,RSA!$C$17),"")</f>
        <v>1</v>
      </c>
      <c r="C50" s="1" t="b">
        <f>IF(RSA!$C$10,AND(A50&lt;RSA!$C$16,B50=1),FALSE)</f>
        <v>1</v>
      </c>
      <c r="D50" s="1">
        <f t="shared" si="1"/>
        <v>43</v>
      </c>
      <c r="E50" s="1"/>
      <c r="F50" s="1">
        <v>41</v>
      </c>
      <c r="G50" s="1">
        <f>IF(RSA!$C$10,1+F50*RSA!$C$17,"")</f>
        <v>19681</v>
      </c>
      <c r="H50" s="11">
        <f>IF(RSA!$C$10,G50/RSA!$C$18,"")</f>
        <v>2811.5714285714284</v>
      </c>
      <c r="I50" s="1">
        <f>IF(RSA!$C$10,MOD(G50,RSA!$C$18),"")</f>
        <v>4</v>
      </c>
      <c r="J50" s="1" t="str">
        <f>IF(RSA!$C$10,IF(AND(F50&lt;RSA!$C$18,I50=0),H50,""),"")</f>
        <v/>
      </c>
      <c r="K50" s="1"/>
      <c r="L50" s="1"/>
      <c r="M50" s="1"/>
      <c r="N50" s="1"/>
    </row>
    <row r="51" spans="1:14" ht="21.95" customHeight="1">
      <c r="A51" s="1">
        <v>44</v>
      </c>
      <c r="B51" s="1">
        <f>IF(RSA!$C$10,GCD(A51,RSA!$C$17),"")</f>
        <v>4</v>
      </c>
      <c r="C51" s="1" t="b">
        <f>IF(RSA!$C$10,AND(A51&lt;RSA!$C$16,B51=1),FALSE)</f>
        <v>0</v>
      </c>
      <c r="D51" s="1" t="str">
        <f t="shared" si="1"/>
        <v/>
      </c>
      <c r="E51" s="1"/>
      <c r="F51" s="1">
        <v>42</v>
      </c>
      <c r="G51" s="1">
        <f>IF(RSA!$C$10,1+F51*RSA!$C$17,"")</f>
        <v>20161</v>
      </c>
      <c r="H51" s="11">
        <f>IF(RSA!$C$10,G51/RSA!$C$18,"")</f>
        <v>2880.1428571428573</v>
      </c>
      <c r="I51" s="1">
        <f>IF(RSA!$C$10,MOD(G51,RSA!$C$18),"")</f>
        <v>1</v>
      </c>
      <c r="J51" s="1" t="str">
        <f>IF(RSA!$C$10,IF(AND(F51&lt;RSA!$C$18,I51=0),H51,""),"")</f>
        <v/>
      </c>
      <c r="K51" s="1"/>
      <c r="L51" s="1"/>
      <c r="M51" s="1"/>
      <c r="N51" s="1"/>
    </row>
    <row r="52" spans="1:14" ht="21.95" customHeight="1">
      <c r="A52" s="1">
        <v>45</v>
      </c>
      <c r="B52" s="1">
        <f>IF(RSA!$C$10,GCD(A52,RSA!$C$17),"")</f>
        <v>15</v>
      </c>
      <c r="C52" s="1" t="b">
        <f>IF(RSA!$C$10,AND(A52&lt;RSA!$C$16,B52=1),FALSE)</f>
        <v>0</v>
      </c>
      <c r="D52" s="1" t="str">
        <f t="shared" si="1"/>
        <v/>
      </c>
      <c r="E52" s="1"/>
      <c r="F52" s="1">
        <v>43</v>
      </c>
      <c r="G52" s="1">
        <f>IF(RSA!$C$10,1+F52*RSA!$C$17,"")</f>
        <v>20641</v>
      </c>
      <c r="H52" s="11">
        <f>IF(RSA!$C$10,G52/RSA!$C$18,"")</f>
        <v>2948.7142857142858</v>
      </c>
      <c r="I52" s="1">
        <f>IF(RSA!$C$10,MOD(G52,RSA!$C$18),"")</f>
        <v>5</v>
      </c>
      <c r="J52" s="1" t="str">
        <f>IF(RSA!$C$10,IF(AND(F52&lt;RSA!$C$18,I52=0),H52,""),"")</f>
        <v/>
      </c>
      <c r="K52" s="1"/>
      <c r="L52" s="1"/>
      <c r="M52" s="1"/>
      <c r="N52" s="1"/>
    </row>
    <row r="53" spans="1:14" ht="21.95" customHeight="1">
      <c r="A53" s="1">
        <v>46</v>
      </c>
      <c r="B53" s="1">
        <f>IF(RSA!$C$10,GCD(A53,RSA!$C$17),"")</f>
        <v>2</v>
      </c>
      <c r="C53" s="1" t="b">
        <f>IF(RSA!$C$10,AND(A53&lt;RSA!$C$16,B53=1),FALSE)</f>
        <v>0</v>
      </c>
      <c r="D53" s="1" t="str">
        <f t="shared" si="1"/>
        <v/>
      </c>
      <c r="E53" s="1"/>
      <c r="F53" s="1">
        <v>44</v>
      </c>
      <c r="G53" s="1">
        <f>IF(RSA!$C$10,1+F53*RSA!$C$17,"")</f>
        <v>21121</v>
      </c>
      <c r="H53" s="11">
        <f>IF(RSA!$C$10,G53/RSA!$C$18,"")</f>
        <v>3017.2857142857142</v>
      </c>
      <c r="I53" s="1">
        <f>IF(RSA!$C$10,MOD(G53,RSA!$C$18),"")</f>
        <v>2</v>
      </c>
      <c r="J53" s="1" t="str">
        <f>IF(RSA!$C$10,IF(AND(F53&lt;RSA!$C$18,I53=0),H53,""),"")</f>
        <v/>
      </c>
      <c r="K53" s="1"/>
      <c r="L53" s="1"/>
      <c r="M53" s="1"/>
      <c r="N53" s="1"/>
    </row>
    <row r="54" spans="1:14" ht="21.95" customHeight="1">
      <c r="A54" s="1">
        <v>47</v>
      </c>
      <c r="B54" s="1">
        <f>IF(RSA!$C$10,GCD(A54,RSA!$C$17),"")</f>
        <v>1</v>
      </c>
      <c r="C54" s="1" t="b">
        <f>IF(RSA!$C$10,AND(A54&lt;RSA!$C$16,B54=1),FALSE)</f>
        <v>1</v>
      </c>
      <c r="D54" s="1">
        <f t="shared" si="1"/>
        <v>47</v>
      </c>
      <c r="E54" s="1"/>
      <c r="F54" s="1">
        <v>45</v>
      </c>
      <c r="G54" s="1">
        <f>IF(RSA!$C$10,1+F54*RSA!$C$17,"")</f>
        <v>21601</v>
      </c>
      <c r="H54" s="11">
        <f>IF(RSA!$C$10,G54/RSA!$C$18,"")</f>
        <v>3085.8571428571427</v>
      </c>
      <c r="I54" s="1">
        <f>IF(RSA!$C$10,MOD(G54,RSA!$C$18),"")</f>
        <v>6</v>
      </c>
      <c r="J54" s="1" t="str">
        <f>IF(RSA!$C$10,IF(AND(F54&lt;RSA!$C$18,I54=0),H54,""),"")</f>
        <v/>
      </c>
      <c r="K54" s="1"/>
      <c r="L54" s="1"/>
      <c r="M54" s="1"/>
      <c r="N54" s="1"/>
    </row>
    <row r="55" spans="1:14" ht="21.95" customHeight="1">
      <c r="A55" s="1">
        <v>48</v>
      </c>
      <c r="B55" s="1">
        <f>IF(RSA!$C$10,GCD(A55,RSA!$C$17),"")</f>
        <v>48</v>
      </c>
      <c r="C55" s="1" t="b">
        <f>IF(RSA!$C$10,AND(A55&lt;RSA!$C$16,B55=1),FALSE)</f>
        <v>0</v>
      </c>
      <c r="D55" s="1" t="str">
        <f t="shared" si="1"/>
        <v/>
      </c>
      <c r="E55" s="1"/>
      <c r="F55" s="1">
        <v>46</v>
      </c>
      <c r="G55" s="1">
        <f>IF(RSA!$C$10,1+F55*RSA!$C$17,"")</f>
        <v>22081</v>
      </c>
      <c r="H55" s="11">
        <f>IF(RSA!$C$10,G55/RSA!$C$18,"")</f>
        <v>3154.4285714285716</v>
      </c>
      <c r="I55" s="1">
        <f>IF(RSA!$C$10,MOD(G55,RSA!$C$18),"")</f>
        <v>3</v>
      </c>
      <c r="J55" s="1" t="str">
        <f>IF(RSA!$C$10,IF(AND(F55&lt;RSA!$C$18,I55=0),H55,""),"")</f>
        <v/>
      </c>
      <c r="K55" s="1"/>
      <c r="L55" s="1"/>
      <c r="M55" s="1"/>
      <c r="N55" s="1"/>
    </row>
    <row r="56" spans="1:14" ht="21.95" customHeight="1">
      <c r="A56" s="1">
        <v>49</v>
      </c>
      <c r="B56" s="1">
        <f>IF(RSA!$C$10,GCD(A56,RSA!$C$17),"")</f>
        <v>1</v>
      </c>
      <c r="C56" s="1" t="b">
        <f>IF(RSA!$C$10,AND(A56&lt;RSA!$C$16,B56=1),FALSE)</f>
        <v>1</v>
      </c>
      <c r="D56" s="1">
        <f t="shared" si="1"/>
        <v>49</v>
      </c>
      <c r="E56" s="1"/>
      <c r="F56" s="1">
        <v>47</v>
      </c>
      <c r="G56" s="1">
        <f>IF(RSA!$C$10,1+F56*RSA!$C$17,"")</f>
        <v>22561</v>
      </c>
      <c r="H56" s="11">
        <f>IF(RSA!$C$10,G56/RSA!$C$18,"")</f>
        <v>3223</v>
      </c>
      <c r="I56" s="1">
        <f>IF(RSA!$C$10,MOD(G56,RSA!$C$18),"")</f>
        <v>0</v>
      </c>
      <c r="J56" s="1" t="str">
        <f>IF(RSA!$C$10,IF(AND(F56&lt;RSA!$C$18,I56=0),H56,""),"")</f>
        <v/>
      </c>
      <c r="K56" s="1"/>
      <c r="L56" s="1"/>
      <c r="M56" s="1"/>
      <c r="N56" s="1"/>
    </row>
    <row r="57" spans="1:14" ht="21.95" customHeight="1">
      <c r="A57" s="1">
        <v>50</v>
      </c>
      <c r="B57" s="1">
        <f>IF(RSA!$C$10,GCD(A57,RSA!$C$17),"")</f>
        <v>10</v>
      </c>
      <c r="C57" s="1" t="b">
        <f>IF(RSA!$C$10,AND(A57&lt;RSA!$C$16,B57=1),FALSE)</f>
        <v>0</v>
      </c>
      <c r="D57" s="1" t="str">
        <f t="shared" si="1"/>
        <v/>
      </c>
      <c r="E57" s="1"/>
      <c r="F57" s="1">
        <v>48</v>
      </c>
      <c r="G57" s="1">
        <f>IF(RSA!$C$10,1+F57*RSA!$C$17,"")</f>
        <v>23041</v>
      </c>
      <c r="H57" s="11">
        <f>IF(RSA!$C$10,G57/RSA!$C$18,"")</f>
        <v>3291.5714285714284</v>
      </c>
      <c r="I57" s="1">
        <f>IF(RSA!$C$10,MOD(G57,RSA!$C$18),"")</f>
        <v>4</v>
      </c>
      <c r="J57" s="1" t="str">
        <f>IF(RSA!$C$10,IF(AND(F57&lt;RSA!$C$18,I57=0),H57,""),"")</f>
        <v/>
      </c>
      <c r="K57" s="1"/>
      <c r="L57" s="1"/>
      <c r="M57" s="1"/>
      <c r="N57" s="1"/>
    </row>
    <row r="58" spans="1:14" ht="21.95" customHeight="1">
      <c r="A58" s="1">
        <v>51</v>
      </c>
      <c r="B58" s="1">
        <f>IF(RSA!$C$10,GCD(A58,RSA!$C$17),"")</f>
        <v>3</v>
      </c>
      <c r="C58" s="1" t="b">
        <f>IF(RSA!$C$10,AND(A58&lt;RSA!$C$16,B58=1),FALSE)</f>
        <v>0</v>
      </c>
      <c r="D58" s="1" t="str">
        <f t="shared" si="1"/>
        <v/>
      </c>
      <c r="E58" s="1"/>
      <c r="F58" s="1">
        <v>49</v>
      </c>
      <c r="G58" s="1">
        <f>IF(RSA!$C$10,1+F58*RSA!$C$17,"")</f>
        <v>23521</v>
      </c>
      <c r="H58" s="11">
        <f>IF(RSA!$C$10,G58/RSA!$C$18,"")</f>
        <v>3360.1428571428573</v>
      </c>
      <c r="I58" s="1">
        <f>IF(RSA!$C$10,MOD(G58,RSA!$C$18),"")</f>
        <v>1</v>
      </c>
      <c r="J58" s="1" t="str">
        <f>IF(RSA!$C$10,IF(AND(F58&lt;RSA!$C$18,I58=0),H58,""),"")</f>
        <v/>
      </c>
      <c r="K58" s="1"/>
      <c r="L58" s="1"/>
      <c r="M58" s="1"/>
      <c r="N58" s="1"/>
    </row>
    <row r="59" spans="1:14" ht="21.95" customHeight="1">
      <c r="A59" s="1">
        <v>52</v>
      </c>
      <c r="B59" s="1">
        <f>IF(RSA!$C$10,GCD(A59,RSA!$C$17),"")</f>
        <v>4</v>
      </c>
      <c r="C59" s="1" t="b">
        <f>IF(RSA!$C$10,AND(A59&lt;RSA!$C$16,B59=1),FALSE)</f>
        <v>0</v>
      </c>
      <c r="D59" s="1" t="str">
        <f t="shared" si="1"/>
        <v/>
      </c>
      <c r="E59" s="1"/>
      <c r="F59" s="1">
        <v>50</v>
      </c>
      <c r="G59" s="1">
        <f>IF(RSA!$C$10,1+F59*RSA!$C$17,"")</f>
        <v>24001</v>
      </c>
      <c r="H59" s="11">
        <f>IF(RSA!$C$10,G59/RSA!$C$18,"")</f>
        <v>3428.7142857142858</v>
      </c>
      <c r="I59" s="1">
        <f>IF(RSA!$C$10,MOD(G59,RSA!$C$18),"")</f>
        <v>5</v>
      </c>
      <c r="J59" s="1" t="str">
        <f>IF(RSA!$C$10,IF(AND(F59&lt;RSA!$C$18,I59=0),H59,""),"")</f>
        <v/>
      </c>
      <c r="K59" s="1"/>
      <c r="L59" s="1"/>
      <c r="M59" s="1"/>
      <c r="N59" s="1"/>
    </row>
    <row r="60" spans="1:14" ht="21.95" customHeight="1">
      <c r="A60" s="1">
        <v>53</v>
      </c>
      <c r="B60" s="1">
        <f>IF(RSA!$C$10,GCD(A60,RSA!$C$17),"")</f>
        <v>1</v>
      </c>
      <c r="C60" s="1" t="b">
        <f>IF(RSA!$C$10,AND(A60&lt;RSA!$C$16,B60=1),FALSE)</f>
        <v>1</v>
      </c>
      <c r="D60" s="1">
        <f t="shared" si="1"/>
        <v>53</v>
      </c>
      <c r="E60" s="1"/>
      <c r="F60" s="1">
        <v>51</v>
      </c>
      <c r="G60" s="1">
        <f>IF(RSA!$C$10,1+F60*RSA!$C$17,"")</f>
        <v>24481</v>
      </c>
      <c r="H60" s="11">
        <f>IF(RSA!$C$10,G60/RSA!$C$18,"")</f>
        <v>3497.2857142857142</v>
      </c>
      <c r="I60" s="1">
        <f>IF(RSA!$C$10,MOD(G60,RSA!$C$18),"")</f>
        <v>2</v>
      </c>
      <c r="J60" s="1" t="str">
        <f>IF(RSA!$C$10,IF(AND(F60&lt;RSA!$C$18,I60=0),H60,""),"")</f>
        <v/>
      </c>
      <c r="K60" s="1"/>
      <c r="L60" s="1"/>
      <c r="M60" s="1"/>
      <c r="N60" s="1"/>
    </row>
    <row r="61" spans="1:14" ht="21.95" customHeight="1">
      <c r="A61" s="1">
        <v>54</v>
      </c>
      <c r="B61" s="1">
        <f>IF(RSA!$C$10,GCD(A61,RSA!$C$17),"")</f>
        <v>6</v>
      </c>
      <c r="C61" s="1" t="b">
        <f>IF(RSA!$C$10,AND(A61&lt;RSA!$C$16,B61=1),FALSE)</f>
        <v>0</v>
      </c>
      <c r="D61" s="1" t="str">
        <f t="shared" si="1"/>
        <v/>
      </c>
      <c r="E61" s="1"/>
      <c r="F61" s="1">
        <v>52</v>
      </c>
      <c r="G61" s="1">
        <f>IF(RSA!$C$10,1+F61*RSA!$C$17,"")</f>
        <v>24961</v>
      </c>
      <c r="H61" s="11">
        <f>IF(RSA!$C$10,G61/RSA!$C$18,"")</f>
        <v>3565.8571428571427</v>
      </c>
      <c r="I61" s="1">
        <f>IF(RSA!$C$10,MOD(G61,RSA!$C$18),"")</f>
        <v>6</v>
      </c>
      <c r="J61" s="1" t="str">
        <f>IF(RSA!$C$10,IF(AND(F61&lt;RSA!$C$18,I61=0),H61,""),"")</f>
        <v/>
      </c>
      <c r="K61" s="1"/>
      <c r="L61" s="1"/>
      <c r="M61" s="1"/>
      <c r="N61" s="1"/>
    </row>
    <row r="62" spans="1:14" ht="21.95" customHeight="1">
      <c r="A62" s="1">
        <v>55</v>
      </c>
      <c r="B62" s="1">
        <f>IF(RSA!$C$10,GCD(A62,RSA!$C$17),"")</f>
        <v>5</v>
      </c>
      <c r="C62" s="1" t="b">
        <f>IF(RSA!$C$10,AND(A62&lt;RSA!$C$16,B62=1),FALSE)</f>
        <v>0</v>
      </c>
      <c r="D62" s="1" t="str">
        <f t="shared" si="1"/>
        <v/>
      </c>
      <c r="E62" s="1"/>
      <c r="F62" s="1">
        <v>53</v>
      </c>
      <c r="G62" s="1">
        <f>IF(RSA!$C$10,1+F62*RSA!$C$17,"")</f>
        <v>25441</v>
      </c>
      <c r="H62" s="11">
        <f>IF(RSA!$C$10,G62/RSA!$C$18,"")</f>
        <v>3634.4285714285716</v>
      </c>
      <c r="I62" s="1">
        <f>IF(RSA!$C$10,MOD(G62,RSA!$C$18),"")</f>
        <v>3</v>
      </c>
      <c r="J62" s="1" t="str">
        <f>IF(RSA!$C$10,IF(AND(F62&lt;RSA!$C$18,I62=0),H62,""),"")</f>
        <v/>
      </c>
      <c r="K62" s="1"/>
      <c r="L62" s="1"/>
      <c r="M62" s="1"/>
      <c r="N62" s="1"/>
    </row>
    <row r="63" spans="1:14" ht="21.95" customHeight="1">
      <c r="A63" s="1">
        <v>56</v>
      </c>
      <c r="B63" s="1">
        <f>IF(RSA!$C$10,GCD(A63,RSA!$C$17),"")</f>
        <v>8</v>
      </c>
      <c r="C63" s="1" t="b">
        <f>IF(RSA!$C$10,AND(A63&lt;RSA!$C$16,B63=1),FALSE)</f>
        <v>0</v>
      </c>
      <c r="D63" s="1" t="str">
        <f t="shared" si="1"/>
        <v/>
      </c>
      <c r="E63" s="1"/>
      <c r="F63" s="1">
        <v>54</v>
      </c>
      <c r="G63" s="1">
        <f>IF(RSA!$C$10,1+F63*RSA!$C$17,"")</f>
        <v>25921</v>
      </c>
      <c r="H63" s="11">
        <f>IF(RSA!$C$10,G63/RSA!$C$18,"")</f>
        <v>3703</v>
      </c>
      <c r="I63" s="1">
        <f>IF(RSA!$C$10,MOD(G63,RSA!$C$18),"")</f>
        <v>0</v>
      </c>
      <c r="J63" s="1" t="str">
        <f>IF(RSA!$C$10,IF(AND(F63&lt;RSA!$C$18,I63=0),H63,""),"")</f>
        <v/>
      </c>
      <c r="K63" s="1"/>
      <c r="L63" s="1"/>
      <c r="M63" s="1"/>
      <c r="N63" s="1"/>
    </row>
    <row r="64" spans="1:14" ht="21.95" customHeight="1">
      <c r="A64" s="1">
        <v>57</v>
      </c>
      <c r="B64" s="1">
        <f>IF(RSA!$C$10,GCD(A64,RSA!$C$17),"")</f>
        <v>3</v>
      </c>
      <c r="C64" s="1" t="b">
        <f>IF(RSA!$C$10,AND(A64&lt;RSA!$C$16,B64=1),FALSE)</f>
        <v>0</v>
      </c>
      <c r="D64" s="1" t="str">
        <f t="shared" si="1"/>
        <v/>
      </c>
      <c r="E64" s="1"/>
      <c r="F64" s="1">
        <v>55</v>
      </c>
      <c r="G64" s="1">
        <f>IF(RSA!$C$10,1+F64*RSA!$C$17,"")</f>
        <v>26401</v>
      </c>
      <c r="H64" s="11">
        <f>IF(RSA!$C$10,G64/RSA!$C$18,"")</f>
        <v>3771.5714285714284</v>
      </c>
      <c r="I64" s="1">
        <f>IF(RSA!$C$10,MOD(G64,RSA!$C$18),"")</f>
        <v>4</v>
      </c>
      <c r="J64" s="1" t="str">
        <f>IF(RSA!$C$10,IF(AND(F64&lt;RSA!$C$18,I64=0),H64,""),"")</f>
        <v/>
      </c>
      <c r="K64" s="1"/>
      <c r="L64" s="1"/>
      <c r="M64" s="1"/>
      <c r="N64" s="1"/>
    </row>
    <row r="65" spans="1:14" ht="21.95" customHeight="1">
      <c r="A65" s="1">
        <v>58</v>
      </c>
      <c r="B65" s="1">
        <f>IF(RSA!$C$10,GCD(A65,RSA!$C$17),"")</f>
        <v>2</v>
      </c>
      <c r="C65" s="1" t="b">
        <f>IF(RSA!$C$10,AND(A65&lt;RSA!$C$16,B65=1),FALSE)</f>
        <v>0</v>
      </c>
      <c r="D65" s="1" t="str">
        <f t="shared" si="1"/>
        <v/>
      </c>
      <c r="E65" s="1"/>
      <c r="F65" s="1">
        <v>56</v>
      </c>
      <c r="G65" s="1">
        <f>IF(RSA!$C$10,1+F65*RSA!$C$17,"")</f>
        <v>26881</v>
      </c>
      <c r="H65" s="11">
        <f>IF(RSA!$C$10,G65/RSA!$C$18,"")</f>
        <v>3840.1428571428573</v>
      </c>
      <c r="I65" s="1">
        <f>IF(RSA!$C$10,MOD(G65,RSA!$C$18),"")</f>
        <v>1</v>
      </c>
      <c r="J65" s="1" t="str">
        <f>IF(RSA!$C$10,IF(AND(F65&lt;RSA!$C$18,I65=0),H65,""),"")</f>
        <v/>
      </c>
      <c r="K65" s="1"/>
      <c r="L65" s="1"/>
      <c r="M65" s="1"/>
      <c r="N65" s="1"/>
    </row>
    <row r="66" spans="1:14" ht="21.95" customHeight="1">
      <c r="A66" s="1">
        <v>59</v>
      </c>
      <c r="B66" s="1">
        <f>IF(RSA!$C$10,GCD(A66,RSA!$C$17),"")</f>
        <v>1</v>
      </c>
      <c r="C66" s="1" t="b">
        <f>IF(RSA!$C$10,AND(A66&lt;RSA!$C$16,B66=1),FALSE)</f>
        <v>1</v>
      </c>
      <c r="D66" s="1">
        <f t="shared" si="1"/>
        <v>59</v>
      </c>
      <c r="E66" s="1"/>
      <c r="F66" s="1">
        <v>57</v>
      </c>
      <c r="G66" s="1">
        <f>IF(RSA!$C$10,1+F66*RSA!$C$17,"")</f>
        <v>27361</v>
      </c>
      <c r="H66" s="11">
        <f>IF(RSA!$C$10,G66/RSA!$C$18,"")</f>
        <v>3908.7142857142858</v>
      </c>
      <c r="I66" s="1">
        <f>IF(RSA!$C$10,MOD(G66,RSA!$C$18),"")</f>
        <v>5</v>
      </c>
      <c r="J66" s="1" t="str">
        <f>IF(RSA!$C$10,IF(AND(F66&lt;RSA!$C$18,I66=0),H66,""),"")</f>
        <v/>
      </c>
      <c r="K66" s="1"/>
      <c r="L66" s="1"/>
      <c r="M66" s="1"/>
      <c r="N66" s="1"/>
    </row>
    <row r="67" spans="1:14" ht="21.95" customHeight="1">
      <c r="A67" s="1">
        <v>60</v>
      </c>
      <c r="B67" s="1">
        <f>IF(RSA!$C$10,GCD(A67,RSA!$C$17),"")</f>
        <v>60</v>
      </c>
      <c r="C67" s="1" t="b">
        <f>IF(RSA!$C$10,AND(A67&lt;RSA!$C$16,B67=1),FALSE)</f>
        <v>0</v>
      </c>
      <c r="D67" s="1" t="str">
        <f t="shared" si="1"/>
        <v/>
      </c>
      <c r="E67" s="1"/>
      <c r="F67" s="1">
        <v>58</v>
      </c>
      <c r="G67" s="1">
        <f>IF(RSA!$C$10,1+F67*RSA!$C$17,"")</f>
        <v>27841</v>
      </c>
      <c r="H67" s="11">
        <f>IF(RSA!$C$10,G67/RSA!$C$18,"")</f>
        <v>3977.2857142857142</v>
      </c>
      <c r="I67" s="1">
        <f>IF(RSA!$C$10,MOD(G67,RSA!$C$18),"")</f>
        <v>2</v>
      </c>
      <c r="J67" s="1" t="str">
        <f>IF(RSA!$C$10,IF(AND(F67&lt;RSA!$C$18,I67=0),H67,""),"")</f>
        <v/>
      </c>
      <c r="K67" s="1"/>
      <c r="L67" s="1"/>
      <c r="M67" s="1"/>
      <c r="N67" s="1"/>
    </row>
    <row r="68" spans="1:14" ht="21.95" customHeight="1">
      <c r="A68" s="1">
        <v>61</v>
      </c>
      <c r="B68" s="1">
        <f>IF(RSA!$C$10,GCD(A68,RSA!$C$17),"")</f>
        <v>1</v>
      </c>
      <c r="C68" s="1" t="b">
        <f>IF(RSA!$C$10,AND(A68&lt;RSA!$C$16,B68=1),FALSE)</f>
        <v>1</v>
      </c>
      <c r="D68" s="1">
        <f t="shared" si="1"/>
        <v>61</v>
      </c>
      <c r="E68" s="1"/>
      <c r="F68" s="1">
        <v>59</v>
      </c>
      <c r="G68" s="1">
        <f>IF(RSA!$C$10,1+F68*RSA!$C$17,"")</f>
        <v>28321</v>
      </c>
      <c r="H68" s="11">
        <f>IF(RSA!$C$10,G68/RSA!$C$18,"")</f>
        <v>4045.8571428571427</v>
      </c>
      <c r="I68" s="1">
        <f>IF(RSA!$C$10,MOD(G68,RSA!$C$18),"")</f>
        <v>6</v>
      </c>
      <c r="J68" s="1" t="str">
        <f>IF(RSA!$C$10,IF(AND(F68&lt;RSA!$C$18,I68=0),H68,""),"")</f>
        <v/>
      </c>
      <c r="K68" s="1"/>
      <c r="L68" s="1"/>
      <c r="M68" s="1"/>
      <c r="N68" s="1"/>
    </row>
    <row r="69" spans="1:14" ht="21.95" customHeight="1">
      <c r="A69" s="1">
        <v>62</v>
      </c>
      <c r="B69" s="1">
        <f>IF(RSA!$C$10,GCD(A69,RSA!$C$17),"")</f>
        <v>2</v>
      </c>
      <c r="C69" s="1" t="b">
        <f>IF(RSA!$C$10,AND(A69&lt;RSA!$C$16,B69=1),FALSE)</f>
        <v>0</v>
      </c>
      <c r="D69" s="1" t="str">
        <f t="shared" si="1"/>
        <v/>
      </c>
      <c r="E69" s="1"/>
      <c r="F69" s="1">
        <v>60</v>
      </c>
      <c r="G69" s="1">
        <f>IF(RSA!$C$10,1+F69*RSA!$C$17,"")</f>
        <v>28801</v>
      </c>
      <c r="H69" s="11">
        <f>IF(RSA!$C$10,G69/RSA!$C$18,"")</f>
        <v>4114.4285714285716</v>
      </c>
      <c r="I69" s="1">
        <f>IF(RSA!$C$10,MOD(G69,RSA!$C$18),"")</f>
        <v>3</v>
      </c>
      <c r="J69" s="1" t="str">
        <f>IF(RSA!$C$10,IF(AND(F69&lt;RSA!$C$18,I69=0),H69,""),"")</f>
        <v/>
      </c>
      <c r="K69" s="1"/>
      <c r="L69" s="1"/>
      <c r="M69" s="1"/>
      <c r="N69" s="1"/>
    </row>
    <row r="70" spans="1:14" ht="21.95" customHeight="1">
      <c r="A70" s="1">
        <v>63</v>
      </c>
      <c r="B70" s="1">
        <f>IF(RSA!$C$10,GCD(A70,RSA!$C$17),"")</f>
        <v>3</v>
      </c>
      <c r="C70" s="1" t="b">
        <f>IF(RSA!$C$10,AND(A70&lt;RSA!$C$16,B70=1),FALSE)</f>
        <v>0</v>
      </c>
      <c r="D70" s="1" t="str">
        <f t="shared" si="1"/>
        <v/>
      </c>
      <c r="E70" s="1"/>
      <c r="F70" s="1">
        <v>61</v>
      </c>
      <c r="G70" s="1">
        <f>IF(RSA!$C$10,1+F70*RSA!$C$17,"")</f>
        <v>29281</v>
      </c>
      <c r="H70" s="11">
        <f>IF(RSA!$C$10,G70/RSA!$C$18,"")</f>
        <v>4183</v>
      </c>
      <c r="I70" s="1">
        <f>IF(RSA!$C$10,MOD(G70,RSA!$C$18),"")</f>
        <v>0</v>
      </c>
      <c r="J70" s="1" t="str">
        <f>IF(RSA!$C$10,IF(AND(F70&lt;RSA!$C$18,I70=0),H70,""),"")</f>
        <v/>
      </c>
      <c r="K70" s="1"/>
      <c r="L70" s="1"/>
      <c r="M70" s="1"/>
      <c r="N70" s="1"/>
    </row>
    <row r="71" spans="1:14" ht="21.95" customHeight="1">
      <c r="A71" s="1">
        <v>64</v>
      </c>
      <c r="B71" s="1">
        <f>IF(RSA!$C$10,GCD(A71,RSA!$C$17),"")</f>
        <v>32</v>
      </c>
      <c r="C71" s="1" t="b">
        <f>IF(RSA!$C$10,AND(A71&lt;RSA!$C$16,B71=1),FALSE)</f>
        <v>0</v>
      </c>
      <c r="D71" s="1" t="str">
        <f t="shared" si="1"/>
        <v/>
      </c>
      <c r="E71" s="1"/>
      <c r="F71" s="1">
        <v>62</v>
      </c>
      <c r="G71" s="1">
        <f>IF(RSA!$C$10,1+F71*RSA!$C$17,"")</f>
        <v>29761</v>
      </c>
      <c r="H71" s="11">
        <f>IF(RSA!$C$10,G71/RSA!$C$18,"")</f>
        <v>4251.5714285714284</v>
      </c>
      <c r="I71" s="1">
        <f>IF(RSA!$C$10,MOD(G71,RSA!$C$18),"")</f>
        <v>4</v>
      </c>
      <c r="J71" s="1" t="str">
        <f>IF(RSA!$C$10,IF(AND(F71&lt;RSA!$C$18,I71=0),H71,""),"")</f>
        <v/>
      </c>
      <c r="K71" s="1"/>
      <c r="L71" s="1"/>
      <c r="M71" s="1"/>
      <c r="N71" s="1"/>
    </row>
    <row r="72" spans="1:14" ht="21.95" customHeight="1">
      <c r="A72" s="1">
        <v>65</v>
      </c>
      <c r="B72" s="1">
        <f>IF(RSA!$C$10,GCD(A72,RSA!$C$17),"")</f>
        <v>5</v>
      </c>
      <c r="C72" s="1" t="b">
        <f>IF(RSA!$C$10,AND(A72&lt;RSA!$C$16,B72=1),FALSE)</f>
        <v>0</v>
      </c>
      <c r="D72" s="1" t="str">
        <f t="shared" si="1"/>
        <v/>
      </c>
      <c r="E72" s="1"/>
      <c r="F72" s="1">
        <v>63</v>
      </c>
      <c r="G72" s="1">
        <f>IF(RSA!$C$10,1+F72*RSA!$C$17,"")</f>
        <v>30241</v>
      </c>
      <c r="H72" s="11">
        <f>IF(RSA!$C$10,G72/RSA!$C$18,"")</f>
        <v>4320.1428571428569</v>
      </c>
      <c r="I72" s="1">
        <f>IF(RSA!$C$10,MOD(G72,RSA!$C$18),"")</f>
        <v>1</v>
      </c>
      <c r="J72" s="1" t="str">
        <f>IF(RSA!$C$10,IF(AND(F72&lt;RSA!$C$18,I72=0),H72,""),"")</f>
        <v/>
      </c>
      <c r="K72" s="1"/>
      <c r="L72" s="1"/>
      <c r="M72" s="1"/>
      <c r="N72" s="1"/>
    </row>
    <row r="73" spans="1:14" ht="21.95" customHeight="1">
      <c r="A73" s="1">
        <v>66</v>
      </c>
      <c r="B73" s="1">
        <f>IF(RSA!$C$10,GCD(A73,RSA!$C$17),"")</f>
        <v>6</v>
      </c>
      <c r="C73" s="1" t="b">
        <f>IF(RSA!$C$10,AND(A73&lt;RSA!$C$16,B73=1),FALSE)</f>
        <v>0</v>
      </c>
      <c r="D73" s="1" t="str">
        <f t="shared" ref="D73:D104" si="2">IF(C73,A73,"")</f>
        <v/>
      </c>
      <c r="E73" s="1"/>
      <c r="F73" s="1">
        <v>64</v>
      </c>
      <c r="G73" s="1">
        <f>IF(RSA!$C$10,1+F73*RSA!$C$17,"")</f>
        <v>30721</v>
      </c>
      <c r="H73" s="11">
        <f>IF(RSA!$C$10,G73/RSA!$C$18,"")</f>
        <v>4388.7142857142853</v>
      </c>
      <c r="I73" s="1">
        <f>IF(RSA!$C$10,MOD(G73,RSA!$C$18),"")</f>
        <v>5</v>
      </c>
      <c r="J73" s="1" t="str">
        <f>IF(RSA!$C$10,IF(AND(F73&lt;RSA!$C$18,I73=0),H73,""),"")</f>
        <v/>
      </c>
      <c r="K73" s="1"/>
      <c r="L73" s="1"/>
      <c r="M73" s="1"/>
      <c r="N73" s="1"/>
    </row>
    <row r="74" spans="1:14" ht="21.95" customHeight="1">
      <c r="A74" s="1">
        <v>67</v>
      </c>
      <c r="B74" s="1">
        <f>IF(RSA!$C$10,GCD(A74,RSA!$C$17),"")</f>
        <v>1</v>
      </c>
      <c r="C74" s="1" t="b">
        <f>IF(RSA!$C$10,AND(A74&lt;RSA!$C$16,B74=1),FALSE)</f>
        <v>1</v>
      </c>
      <c r="D74" s="1">
        <f t="shared" si="2"/>
        <v>67</v>
      </c>
      <c r="E74" s="1"/>
      <c r="F74" s="1">
        <v>65</v>
      </c>
      <c r="G74" s="1">
        <f>IF(RSA!$C$10,1+F74*RSA!$C$17,"")</f>
        <v>31201</v>
      </c>
      <c r="H74" s="11">
        <f>IF(RSA!$C$10,G74/RSA!$C$18,"")</f>
        <v>4457.2857142857147</v>
      </c>
      <c r="I74" s="1">
        <f>IF(RSA!$C$10,MOD(G74,RSA!$C$18),"")</f>
        <v>2</v>
      </c>
      <c r="J74" s="1" t="str">
        <f>IF(RSA!$C$10,IF(AND(F74&lt;RSA!$C$18,I74=0),H74,""),"")</f>
        <v/>
      </c>
      <c r="K74" s="1"/>
      <c r="L74" s="1"/>
      <c r="M74" s="1"/>
      <c r="N74" s="1"/>
    </row>
    <row r="75" spans="1:14" ht="21.95" customHeight="1">
      <c r="A75" s="1">
        <v>68</v>
      </c>
      <c r="B75" s="1">
        <f>IF(RSA!$C$10,GCD(A75,RSA!$C$17),"")</f>
        <v>4</v>
      </c>
      <c r="C75" s="1" t="b">
        <f>IF(RSA!$C$10,AND(A75&lt;RSA!$C$16,B75=1),FALSE)</f>
        <v>0</v>
      </c>
      <c r="D75" s="1" t="str">
        <f t="shared" si="2"/>
        <v/>
      </c>
      <c r="E75" s="1"/>
      <c r="F75" s="1">
        <v>66</v>
      </c>
      <c r="G75" s="1">
        <f>IF(RSA!$C$10,1+F75*RSA!$C$17,"")</f>
        <v>31681</v>
      </c>
      <c r="H75" s="11">
        <f>IF(RSA!$C$10,G75/RSA!$C$18,"")</f>
        <v>4525.8571428571431</v>
      </c>
      <c r="I75" s="1">
        <f>IF(RSA!$C$10,MOD(G75,RSA!$C$18),"")</f>
        <v>6</v>
      </c>
      <c r="J75" s="1" t="str">
        <f>IF(RSA!$C$10,IF(AND(F75&lt;RSA!$C$18,I75=0),H75,""),"")</f>
        <v/>
      </c>
      <c r="K75" s="1"/>
      <c r="L75" s="1"/>
      <c r="M75" s="1"/>
      <c r="N75" s="1"/>
    </row>
    <row r="76" spans="1:14" ht="21.95" customHeight="1">
      <c r="A76" s="1">
        <v>69</v>
      </c>
      <c r="B76" s="1">
        <f>IF(RSA!$C$10,GCD(A76,RSA!$C$17),"")</f>
        <v>3</v>
      </c>
      <c r="C76" s="1" t="b">
        <f>IF(RSA!$C$10,AND(A76&lt;RSA!$C$16,B76=1),FALSE)</f>
        <v>0</v>
      </c>
      <c r="D76" s="1" t="str">
        <f t="shared" si="2"/>
        <v/>
      </c>
      <c r="E76" s="1"/>
      <c r="F76" s="1">
        <v>67</v>
      </c>
      <c r="G76" s="1">
        <f>IF(RSA!$C$10,1+F76*RSA!$C$17,"")</f>
        <v>32161</v>
      </c>
      <c r="H76" s="11">
        <f>IF(RSA!$C$10,G76/RSA!$C$18,"")</f>
        <v>4594.4285714285716</v>
      </c>
      <c r="I76" s="1">
        <f>IF(RSA!$C$10,MOD(G76,RSA!$C$18),"")</f>
        <v>3</v>
      </c>
      <c r="J76" s="1" t="str">
        <f>IF(RSA!$C$10,IF(AND(F76&lt;RSA!$C$18,I76=0),H76,""),"")</f>
        <v/>
      </c>
      <c r="K76" s="1"/>
      <c r="L76" s="1"/>
      <c r="M76" s="1"/>
      <c r="N76" s="1"/>
    </row>
    <row r="77" spans="1:14" ht="21.95" customHeight="1">
      <c r="A77" s="1">
        <v>70</v>
      </c>
      <c r="B77" s="1">
        <f>IF(RSA!$C$10,GCD(A77,RSA!$C$17),"")</f>
        <v>10</v>
      </c>
      <c r="C77" s="1" t="b">
        <f>IF(RSA!$C$10,AND(A77&lt;RSA!$C$16,B77=1),FALSE)</f>
        <v>0</v>
      </c>
      <c r="D77" s="1" t="str">
        <f t="shared" si="2"/>
        <v/>
      </c>
      <c r="E77" s="1"/>
      <c r="F77" s="1">
        <v>68</v>
      </c>
      <c r="G77" s="1">
        <f>IF(RSA!$C$10,1+F77*RSA!$C$17,"")</f>
        <v>32641</v>
      </c>
      <c r="H77" s="11">
        <f>IF(RSA!$C$10,G77/RSA!$C$18,"")</f>
        <v>4663</v>
      </c>
      <c r="I77" s="1">
        <f>IF(RSA!$C$10,MOD(G77,RSA!$C$18),"")</f>
        <v>0</v>
      </c>
      <c r="J77" s="1" t="str">
        <f>IF(RSA!$C$10,IF(AND(F77&lt;RSA!$C$18,I77=0),H77,""),"")</f>
        <v/>
      </c>
      <c r="K77" s="1"/>
      <c r="L77" s="1"/>
      <c r="M77" s="1"/>
      <c r="N77" s="1"/>
    </row>
    <row r="78" spans="1:14" ht="21.95" customHeight="1">
      <c r="A78" s="1">
        <v>71</v>
      </c>
      <c r="B78" s="1">
        <f>IF(RSA!$C$10,GCD(A78,RSA!$C$17),"")</f>
        <v>1</v>
      </c>
      <c r="C78" s="1" t="b">
        <f>IF(RSA!$C$10,AND(A78&lt;RSA!$C$16,B78=1),FALSE)</f>
        <v>1</v>
      </c>
      <c r="D78" s="1">
        <f t="shared" si="2"/>
        <v>71</v>
      </c>
      <c r="E78" s="1"/>
      <c r="F78" s="1">
        <v>69</v>
      </c>
      <c r="G78" s="1">
        <f>IF(RSA!$C$10,1+F78*RSA!$C$17,"")</f>
        <v>33121</v>
      </c>
      <c r="H78" s="11">
        <f>IF(RSA!$C$10,G78/RSA!$C$18,"")</f>
        <v>4731.5714285714284</v>
      </c>
      <c r="I78" s="1">
        <f>IF(RSA!$C$10,MOD(G78,RSA!$C$18),"")</f>
        <v>4</v>
      </c>
      <c r="J78" s="1" t="str">
        <f>IF(RSA!$C$10,IF(AND(F78&lt;RSA!$C$18,I78=0),H78,""),"")</f>
        <v/>
      </c>
      <c r="K78" s="1"/>
      <c r="L78" s="1"/>
      <c r="M78" s="1"/>
      <c r="N78" s="1"/>
    </row>
    <row r="79" spans="1:14" ht="21.95" customHeight="1">
      <c r="A79" s="1">
        <v>72</v>
      </c>
      <c r="B79" s="1">
        <f>IF(RSA!$C$10,GCD(A79,RSA!$C$17),"")</f>
        <v>24</v>
      </c>
      <c r="C79" s="1" t="b">
        <f>IF(RSA!$C$10,AND(A79&lt;RSA!$C$16,B79=1),FALSE)</f>
        <v>0</v>
      </c>
      <c r="D79" s="1" t="str">
        <f t="shared" si="2"/>
        <v/>
      </c>
      <c r="E79" s="1"/>
      <c r="F79" s="1">
        <v>70</v>
      </c>
      <c r="G79" s="1">
        <f>IF(RSA!$C$10,1+F79*RSA!$C$17,"")</f>
        <v>33601</v>
      </c>
      <c r="H79" s="11">
        <f>IF(RSA!$C$10,G79/RSA!$C$18,"")</f>
        <v>4800.1428571428569</v>
      </c>
      <c r="I79" s="1">
        <f>IF(RSA!$C$10,MOD(G79,RSA!$C$18),"")</f>
        <v>1</v>
      </c>
      <c r="J79" s="1" t="str">
        <f>IF(RSA!$C$10,IF(AND(F79&lt;RSA!$C$18,I79=0),H79,""),"")</f>
        <v/>
      </c>
      <c r="K79" s="1"/>
      <c r="L79" s="1"/>
      <c r="M79" s="1"/>
      <c r="N79" s="1"/>
    </row>
    <row r="80" spans="1:14" ht="21.95" customHeight="1">
      <c r="A80" s="1">
        <v>73</v>
      </c>
      <c r="B80" s="1">
        <f>IF(RSA!$C$10,GCD(A80,RSA!$C$17),"")</f>
        <v>1</v>
      </c>
      <c r="C80" s="1" t="b">
        <f>IF(RSA!$C$10,AND(A80&lt;RSA!$C$16,B80=1),FALSE)</f>
        <v>1</v>
      </c>
      <c r="D80" s="1">
        <f t="shared" si="2"/>
        <v>73</v>
      </c>
      <c r="E80" s="1"/>
      <c r="F80" s="1">
        <v>71</v>
      </c>
      <c r="G80" s="1">
        <f>IF(RSA!$C$10,1+F80*RSA!$C$17,"")</f>
        <v>34081</v>
      </c>
      <c r="H80" s="11">
        <f>IF(RSA!$C$10,G80/RSA!$C$18,"")</f>
        <v>4868.7142857142853</v>
      </c>
      <c r="I80" s="1">
        <f>IF(RSA!$C$10,MOD(G80,RSA!$C$18),"")</f>
        <v>5</v>
      </c>
      <c r="J80" s="1" t="str">
        <f>IF(RSA!$C$10,IF(AND(F80&lt;RSA!$C$18,I80=0),H80,""),"")</f>
        <v/>
      </c>
      <c r="K80" s="1"/>
      <c r="L80" s="1"/>
      <c r="M80" s="1"/>
      <c r="N80" s="1"/>
    </row>
    <row r="81" spans="1:14" ht="21.95" customHeight="1">
      <c r="A81" s="1">
        <v>74</v>
      </c>
      <c r="B81" s="1">
        <f>IF(RSA!$C$10,GCD(A81,RSA!$C$17),"")</f>
        <v>2</v>
      </c>
      <c r="C81" s="1" t="b">
        <f>IF(RSA!$C$10,AND(A81&lt;RSA!$C$16,B81=1),FALSE)</f>
        <v>0</v>
      </c>
      <c r="D81" s="1" t="str">
        <f t="shared" si="2"/>
        <v/>
      </c>
      <c r="E81" s="1"/>
      <c r="F81" s="1">
        <v>72</v>
      </c>
      <c r="G81" s="1">
        <f>IF(RSA!$C$10,1+F81*RSA!$C$17,"")</f>
        <v>34561</v>
      </c>
      <c r="H81" s="11">
        <f>IF(RSA!$C$10,G81/RSA!$C$18,"")</f>
        <v>4937.2857142857147</v>
      </c>
      <c r="I81" s="1">
        <f>IF(RSA!$C$10,MOD(G81,RSA!$C$18),"")</f>
        <v>2</v>
      </c>
      <c r="J81" s="1" t="str">
        <f>IF(RSA!$C$10,IF(AND(F81&lt;RSA!$C$18,I81=0),H81,""),"")</f>
        <v/>
      </c>
      <c r="K81" s="1"/>
      <c r="L81" s="1"/>
      <c r="M81" s="1"/>
      <c r="N81" s="1"/>
    </row>
    <row r="82" spans="1:14" ht="21.95" customHeight="1">
      <c r="A82" s="1">
        <v>75</v>
      </c>
      <c r="B82" s="1">
        <f>IF(RSA!$C$10,GCD(A82,RSA!$C$17),"")</f>
        <v>15</v>
      </c>
      <c r="C82" s="1" t="b">
        <f>IF(RSA!$C$10,AND(A82&lt;RSA!$C$16,B82=1),FALSE)</f>
        <v>0</v>
      </c>
      <c r="D82" s="1" t="str">
        <f t="shared" si="2"/>
        <v/>
      </c>
      <c r="E82" s="1"/>
      <c r="F82" s="1">
        <v>73</v>
      </c>
      <c r="G82" s="1">
        <f>IF(RSA!$C$10,1+F82*RSA!$C$17,"")</f>
        <v>35041</v>
      </c>
      <c r="H82" s="11">
        <f>IF(RSA!$C$10,G82/RSA!$C$18,"")</f>
        <v>5005.8571428571431</v>
      </c>
      <c r="I82" s="1">
        <f>IF(RSA!$C$10,MOD(G82,RSA!$C$18),"")</f>
        <v>6</v>
      </c>
      <c r="J82" s="1" t="str">
        <f>IF(RSA!$C$10,IF(AND(F82&lt;RSA!$C$18,I82=0),H82,""),"")</f>
        <v/>
      </c>
      <c r="K82" s="1"/>
      <c r="L82" s="1"/>
      <c r="M82" s="1"/>
      <c r="N82" s="1"/>
    </row>
    <row r="83" spans="1:14" ht="21.95" customHeight="1">
      <c r="A83" s="1">
        <v>76</v>
      </c>
      <c r="B83" s="1">
        <f>IF(RSA!$C$10,GCD(A83,RSA!$C$17),"")</f>
        <v>4</v>
      </c>
      <c r="C83" s="1" t="b">
        <f>IF(RSA!$C$10,AND(A83&lt;RSA!$C$16,B83=1),FALSE)</f>
        <v>0</v>
      </c>
      <c r="D83" s="1" t="str">
        <f t="shared" si="2"/>
        <v/>
      </c>
      <c r="E83" s="1"/>
      <c r="F83" s="1">
        <v>74</v>
      </c>
      <c r="G83" s="1">
        <f>IF(RSA!$C$10,1+F83*RSA!$C$17,"")</f>
        <v>35521</v>
      </c>
      <c r="H83" s="11">
        <f>IF(RSA!$C$10,G83/RSA!$C$18,"")</f>
        <v>5074.4285714285716</v>
      </c>
      <c r="I83" s="1">
        <f>IF(RSA!$C$10,MOD(G83,RSA!$C$18),"")</f>
        <v>3</v>
      </c>
      <c r="J83" s="1" t="str">
        <f>IF(RSA!$C$10,IF(AND(F83&lt;RSA!$C$18,I83=0),H83,""),"")</f>
        <v/>
      </c>
      <c r="K83" s="1"/>
      <c r="L83" s="1"/>
      <c r="M83" s="1"/>
      <c r="N83" s="1"/>
    </row>
    <row r="84" spans="1:14" ht="21.95" customHeight="1">
      <c r="A84" s="1">
        <v>77</v>
      </c>
      <c r="B84" s="1">
        <f>IF(RSA!$C$10,GCD(A84,RSA!$C$17),"")</f>
        <v>1</v>
      </c>
      <c r="C84" s="1" t="b">
        <f>IF(RSA!$C$10,AND(A84&lt;RSA!$C$16,B84=1),FALSE)</f>
        <v>1</v>
      </c>
      <c r="D84" s="1">
        <f t="shared" si="2"/>
        <v>77</v>
      </c>
      <c r="E84" s="1"/>
      <c r="F84" s="1">
        <v>75</v>
      </c>
      <c r="G84" s="1">
        <f>IF(RSA!$C$10,1+F84*RSA!$C$17,"")</f>
        <v>36001</v>
      </c>
      <c r="H84" s="11">
        <f>IF(RSA!$C$10,G84/RSA!$C$18,"")</f>
        <v>5143</v>
      </c>
      <c r="I84" s="1">
        <f>IF(RSA!$C$10,MOD(G84,RSA!$C$18),"")</f>
        <v>0</v>
      </c>
      <c r="J84" s="1" t="str">
        <f>IF(RSA!$C$10,IF(AND(F84&lt;RSA!$C$18,I84=0),H84,""),"")</f>
        <v/>
      </c>
      <c r="K84" s="1"/>
      <c r="L84" s="1"/>
      <c r="M84" s="1"/>
      <c r="N84" s="1"/>
    </row>
    <row r="85" spans="1:14" ht="21.95" customHeight="1">
      <c r="A85" s="1">
        <v>78</v>
      </c>
      <c r="B85" s="1">
        <f>IF(RSA!$C$10,GCD(A85,RSA!$C$17),"")</f>
        <v>6</v>
      </c>
      <c r="C85" s="1" t="b">
        <f>IF(RSA!$C$10,AND(A85&lt;RSA!$C$16,B85=1),FALSE)</f>
        <v>0</v>
      </c>
      <c r="D85" s="1" t="str">
        <f t="shared" si="2"/>
        <v/>
      </c>
      <c r="E85" s="1"/>
      <c r="F85" s="1">
        <v>76</v>
      </c>
      <c r="G85" s="1">
        <f>IF(RSA!$C$10,1+F85*RSA!$C$17,"")</f>
        <v>36481</v>
      </c>
      <c r="H85" s="11">
        <f>IF(RSA!$C$10,G85/RSA!$C$18,"")</f>
        <v>5211.5714285714284</v>
      </c>
      <c r="I85" s="1">
        <f>IF(RSA!$C$10,MOD(G85,RSA!$C$18),"")</f>
        <v>4</v>
      </c>
      <c r="J85" s="1" t="str">
        <f>IF(RSA!$C$10,IF(AND(F85&lt;RSA!$C$18,I85=0),H85,""),"")</f>
        <v/>
      </c>
      <c r="K85" s="1"/>
      <c r="L85" s="1"/>
      <c r="M85" s="1"/>
      <c r="N85" s="1"/>
    </row>
    <row r="86" spans="1:14" ht="21.95" customHeight="1">
      <c r="A86" s="1">
        <v>79</v>
      </c>
      <c r="B86" s="1">
        <f>IF(RSA!$C$10,GCD(A86,RSA!$C$17),"")</f>
        <v>1</v>
      </c>
      <c r="C86" s="1" t="b">
        <f>IF(RSA!$C$10,AND(A86&lt;RSA!$C$16,B86=1),FALSE)</f>
        <v>1</v>
      </c>
      <c r="D86" s="1">
        <f t="shared" si="2"/>
        <v>79</v>
      </c>
      <c r="E86" s="1"/>
      <c r="F86" s="1">
        <v>77</v>
      </c>
      <c r="G86" s="1">
        <f>IF(RSA!$C$10,1+F86*RSA!$C$17,"")</f>
        <v>36961</v>
      </c>
      <c r="H86" s="11">
        <f>IF(RSA!$C$10,G86/RSA!$C$18,"")</f>
        <v>5280.1428571428569</v>
      </c>
      <c r="I86" s="1">
        <f>IF(RSA!$C$10,MOD(G86,RSA!$C$18),"")</f>
        <v>1</v>
      </c>
      <c r="J86" s="1" t="str">
        <f>IF(RSA!$C$10,IF(AND(F86&lt;RSA!$C$18,I86=0),H86,""),"")</f>
        <v/>
      </c>
      <c r="K86" s="1"/>
      <c r="L86" s="1"/>
      <c r="M86" s="1"/>
      <c r="N86" s="1"/>
    </row>
    <row r="87" spans="1:14" ht="21.95" customHeight="1">
      <c r="A87" s="1">
        <v>80</v>
      </c>
      <c r="B87" s="1">
        <f>IF(RSA!$C$10,GCD(A87,RSA!$C$17),"")</f>
        <v>80</v>
      </c>
      <c r="C87" s="1" t="b">
        <f>IF(RSA!$C$10,AND(A87&lt;RSA!$C$16,B87=1),FALSE)</f>
        <v>0</v>
      </c>
      <c r="D87" s="1" t="str">
        <f t="shared" si="2"/>
        <v/>
      </c>
      <c r="E87" s="1"/>
      <c r="F87" s="1">
        <v>78</v>
      </c>
      <c r="G87" s="1">
        <f>IF(RSA!$C$10,1+F87*RSA!$C$17,"")</f>
        <v>37441</v>
      </c>
      <c r="H87" s="11">
        <f>IF(RSA!$C$10,G87/RSA!$C$18,"")</f>
        <v>5348.7142857142853</v>
      </c>
      <c r="I87" s="1">
        <f>IF(RSA!$C$10,MOD(G87,RSA!$C$18),"")</f>
        <v>5</v>
      </c>
      <c r="J87" s="1" t="str">
        <f>IF(RSA!$C$10,IF(AND(F87&lt;RSA!$C$18,I87=0),H87,""),"")</f>
        <v/>
      </c>
      <c r="K87" s="1"/>
      <c r="L87" s="1"/>
      <c r="M87" s="1"/>
      <c r="N87" s="1"/>
    </row>
    <row r="88" spans="1:14" ht="21.95" customHeight="1">
      <c r="A88" s="1">
        <v>81</v>
      </c>
      <c r="B88" s="1">
        <f>IF(RSA!$C$10,GCD(A88,RSA!$C$17),"")</f>
        <v>3</v>
      </c>
      <c r="C88" s="1" t="b">
        <f>IF(RSA!$C$10,AND(A88&lt;RSA!$C$16,B88=1),FALSE)</f>
        <v>0</v>
      </c>
      <c r="D88" s="1" t="str">
        <f t="shared" si="2"/>
        <v/>
      </c>
      <c r="E88" s="1"/>
      <c r="F88" s="1">
        <v>79</v>
      </c>
      <c r="G88" s="1">
        <f>IF(RSA!$C$10,1+F88*RSA!$C$17,"")</f>
        <v>37921</v>
      </c>
      <c r="H88" s="11">
        <f>IF(RSA!$C$10,G88/RSA!$C$18,"")</f>
        <v>5417.2857142857147</v>
      </c>
      <c r="I88" s="1">
        <f>IF(RSA!$C$10,MOD(G88,RSA!$C$18),"")</f>
        <v>2</v>
      </c>
      <c r="J88" s="1" t="str">
        <f>IF(RSA!$C$10,IF(AND(F88&lt;RSA!$C$18,I88=0),H88,""),"")</f>
        <v/>
      </c>
      <c r="K88" s="1"/>
      <c r="L88" s="1"/>
      <c r="M88" s="1"/>
      <c r="N88" s="1"/>
    </row>
    <row r="89" spans="1:14" ht="21.95" customHeight="1">
      <c r="A89" s="1">
        <v>82</v>
      </c>
      <c r="B89" s="1">
        <f>IF(RSA!$C$10,GCD(A89,RSA!$C$17),"")</f>
        <v>2</v>
      </c>
      <c r="C89" s="1" t="b">
        <f>IF(RSA!$C$10,AND(A89&lt;RSA!$C$16,B89=1),FALSE)</f>
        <v>0</v>
      </c>
      <c r="D89" s="1" t="str">
        <f t="shared" si="2"/>
        <v/>
      </c>
      <c r="E89" s="1"/>
      <c r="F89" s="1">
        <v>80</v>
      </c>
      <c r="G89" s="1">
        <f>IF(RSA!$C$10,1+F89*RSA!$C$17,"")</f>
        <v>38401</v>
      </c>
      <c r="H89" s="11">
        <f>IF(RSA!$C$10,G89/RSA!$C$18,"")</f>
        <v>5485.8571428571431</v>
      </c>
      <c r="I89" s="1">
        <f>IF(RSA!$C$10,MOD(G89,RSA!$C$18),"")</f>
        <v>6</v>
      </c>
      <c r="J89" s="1" t="str">
        <f>IF(RSA!$C$10,IF(AND(F89&lt;RSA!$C$18,I89=0),H89,""),"")</f>
        <v/>
      </c>
      <c r="K89" s="1"/>
      <c r="L89" s="1"/>
      <c r="M89" s="1"/>
      <c r="N89" s="1"/>
    </row>
    <row r="90" spans="1:14" ht="21.95" customHeight="1">
      <c r="A90" s="1">
        <v>83</v>
      </c>
      <c r="B90" s="1">
        <f>IF(RSA!$C$10,GCD(A90,RSA!$C$17),"")</f>
        <v>1</v>
      </c>
      <c r="C90" s="1" t="b">
        <f>IF(RSA!$C$10,AND(A90&lt;RSA!$C$16,B90=1),FALSE)</f>
        <v>1</v>
      </c>
      <c r="D90" s="1">
        <f t="shared" si="2"/>
        <v>83</v>
      </c>
      <c r="E90" s="1"/>
      <c r="F90" s="1">
        <v>81</v>
      </c>
      <c r="G90" s="1">
        <f>IF(RSA!$C$10,1+F90*RSA!$C$17,"")</f>
        <v>38881</v>
      </c>
      <c r="H90" s="11">
        <f>IF(RSA!$C$10,G90/RSA!$C$18,"")</f>
        <v>5554.4285714285716</v>
      </c>
      <c r="I90" s="1">
        <f>IF(RSA!$C$10,MOD(G90,RSA!$C$18),"")</f>
        <v>3</v>
      </c>
      <c r="J90" s="1" t="str">
        <f>IF(RSA!$C$10,IF(AND(F90&lt;RSA!$C$18,I90=0),H90,""),"")</f>
        <v/>
      </c>
      <c r="K90" s="1"/>
      <c r="L90" s="1"/>
      <c r="M90" s="1"/>
      <c r="N90" s="1"/>
    </row>
    <row r="91" spans="1:14" ht="21.95" customHeight="1">
      <c r="A91" s="1">
        <v>84</v>
      </c>
      <c r="B91" s="1">
        <f>IF(RSA!$C$10,GCD(A91,RSA!$C$17),"")</f>
        <v>12</v>
      </c>
      <c r="C91" s="1" t="b">
        <f>IF(RSA!$C$10,AND(A91&lt;RSA!$C$16,B91=1),FALSE)</f>
        <v>0</v>
      </c>
      <c r="D91" s="1" t="str">
        <f t="shared" si="2"/>
        <v/>
      </c>
      <c r="E91" s="1"/>
      <c r="F91" s="1">
        <v>82</v>
      </c>
      <c r="G91" s="1">
        <f>IF(RSA!$C$10,1+F91*RSA!$C$17,"")</f>
        <v>39361</v>
      </c>
      <c r="H91" s="11">
        <f>IF(RSA!$C$10,G91/RSA!$C$18,"")</f>
        <v>5623</v>
      </c>
      <c r="I91" s="1">
        <f>IF(RSA!$C$10,MOD(G91,RSA!$C$18),"")</f>
        <v>0</v>
      </c>
      <c r="J91" s="1" t="str">
        <f>IF(RSA!$C$10,IF(AND(F91&lt;RSA!$C$18,I91=0),H91,""),"")</f>
        <v/>
      </c>
      <c r="K91" s="1"/>
      <c r="L91" s="1"/>
      <c r="M91" s="1"/>
      <c r="N91" s="1"/>
    </row>
    <row r="92" spans="1:14" ht="21.95" customHeight="1">
      <c r="A92" s="1">
        <v>85</v>
      </c>
      <c r="B92" s="1">
        <f>IF(RSA!$C$10,GCD(A92,RSA!$C$17),"")</f>
        <v>5</v>
      </c>
      <c r="C92" s="1" t="b">
        <f>IF(RSA!$C$10,AND(A92&lt;RSA!$C$16,B92=1),FALSE)</f>
        <v>0</v>
      </c>
      <c r="D92" s="1" t="str">
        <f t="shared" si="2"/>
        <v/>
      </c>
      <c r="E92" s="1"/>
      <c r="F92" s="1">
        <v>83</v>
      </c>
      <c r="G92" s="1">
        <f>IF(RSA!$C$10,1+F92*RSA!$C$17,"")</f>
        <v>39841</v>
      </c>
      <c r="H92" s="11">
        <f>IF(RSA!$C$10,G92/RSA!$C$18,"")</f>
        <v>5691.5714285714284</v>
      </c>
      <c r="I92" s="1">
        <f>IF(RSA!$C$10,MOD(G92,RSA!$C$18),"")</f>
        <v>4</v>
      </c>
      <c r="J92" s="1" t="str">
        <f>IF(RSA!$C$10,IF(AND(F92&lt;RSA!$C$18,I92=0),H92,""),"")</f>
        <v/>
      </c>
      <c r="K92" s="1"/>
      <c r="L92" s="1"/>
      <c r="M92" s="1"/>
      <c r="N92" s="1"/>
    </row>
    <row r="93" spans="1:14" ht="21.95" customHeight="1">
      <c r="A93" s="1">
        <v>86</v>
      </c>
      <c r="B93" s="1">
        <f>IF(RSA!$C$10,GCD(A93,RSA!$C$17),"")</f>
        <v>2</v>
      </c>
      <c r="C93" s="1" t="b">
        <f>IF(RSA!$C$10,AND(A93&lt;RSA!$C$16,B93=1),FALSE)</f>
        <v>0</v>
      </c>
      <c r="D93" s="1" t="str">
        <f t="shared" si="2"/>
        <v/>
      </c>
      <c r="E93" s="1"/>
      <c r="F93" s="1">
        <v>84</v>
      </c>
      <c r="G93" s="1">
        <f>IF(RSA!$C$10,1+F93*RSA!$C$17,"")</f>
        <v>40321</v>
      </c>
      <c r="H93" s="11">
        <f>IF(RSA!$C$10,G93/RSA!$C$18,"")</f>
        <v>5760.1428571428569</v>
      </c>
      <c r="I93" s="1">
        <f>IF(RSA!$C$10,MOD(G93,RSA!$C$18),"")</f>
        <v>1</v>
      </c>
      <c r="J93" s="1" t="str">
        <f>IF(RSA!$C$10,IF(AND(F93&lt;RSA!$C$18,I93=0),H93,""),"")</f>
        <v/>
      </c>
      <c r="K93" s="1"/>
      <c r="L93" s="1"/>
      <c r="M93" s="1"/>
      <c r="N93" s="1"/>
    </row>
    <row r="94" spans="1:14" ht="21.95" customHeight="1">
      <c r="A94" s="1">
        <v>87</v>
      </c>
      <c r="B94" s="1">
        <f>IF(RSA!$C$10,GCD(A94,RSA!$C$17),"")</f>
        <v>3</v>
      </c>
      <c r="C94" s="1" t="b">
        <f>IF(RSA!$C$10,AND(A94&lt;RSA!$C$16,B94=1),FALSE)</f>
        <v>0</v>
      </c>
      <c r="D94" s="1" t="str">
        <f t="shared" si="2"/>
        <v/>
      </c>
      <c r="E94" s="1"/>
      <c r="F94" s="1">
        <v>85</v>
      </c>
      <c r="G94" s="1">
        <f>IF(RSA!$C$10,1+F94*RSA!$C$17,"")</f>
        <v>40801</v>
      </c>
      <c r="H94" s="11">
        <f>IF(RSA!$C$10,G94/RSA!$C$18,"")</f>
        <v>5828.7142857142853</v>
      </c>
      <c r="I94" s="1">
        <f>IF(RSA!$C$10,MOD(G94,RSA!$C$18),"")</f>
        <v>5</v>
      </c>
      <c r="J94" s="1" t="str">
        <f>IF(RSA!$C$10,IF(AND(F94&lt;RSA!$C$18,I94=0),H94,""),"")</f>
        <v/>
      </c>
      <c r="K94" s="1"/>
      <c r="L94" s="1"/>
      <c r="M94" s="1"/>
      <c r="N94" s="1"/>
    </row>
    <row r="95" spans="1:14" ht="21.95" customHeight="1">
      <c r="A95" s="1">
        <v>88</v>
      </c>
      <c r="B95" s="1">
        <f>IF(RSA!$C$10,GCD(A95,RSA!$C$17),"")</f>
        <v>8</v>
      </c>
      <c r="C95" s="1" t="b">
        <f>IF(RSA!$C$10,AND(A95&lt;RSA!$C$16,B95=1),FALSE)</f>
        <v>0</v>
      </c>
      <c r="D95" s="1" t="str">
        <f t="shared" si="2"/>
        <v/>
      </c>
      <c r="E95" s="1"/>
      <c r="F95" s="1">
        <v>86</v>
      </c>
      <c r="G95" s="1">
        <f>IF(RSA!$C$10,1+F95*RSA!$C$17,"")</f>
        <v>41281</v>
      </c>
      <c r="H95" s="11">
        <f>IF(RSA!$C$10,G95/RSA!$C$18,"")</f>
        <v>5897.2857142857147</v>
      </c>
      <c r="I95" s="1">
        <f>IF(RSA!$C$10,MOD(G95,RSA!$C$18),"")</f>
        <v>2</v>
      </c>
      <c r="J95" s="1" t="str">
        <f>IF(RSA!$C$10,IF(AND(F95&lt;RSA!$C$18,I95=0),H95,""),"")</f>
        <v/>
      </c>
      <c r="K95" s="1"/>
      <c r="L95" s="1"/>
      <c r="M95" s="1"/>
      <c r="N95" s="1"/>
    </row>
    <row r="96" spans="1:14" ht="21.95" customHeight="1">
      <c r="A96" s="1">
        <v>89</v>
      </c>
      <c r="B96" s="1">
        <f>IF(RSA!$C$10,GCD(A96,RSA!$C$17),"")</f>
        <v>1</v>
      </c>
      <c r="C96" s="1" t="b">
        <f>IF(RSA!$C$10,AND(A96&lt;RSA!$C$16,B96=1),FALSE)</f>
        <v>1</v>
      </c>
      <c r="D96" s="1">
        <f t="shared" si="2"/>
        <v>89</v>
      </c>
      <c r="E96" s="1"/>
      <c r="F96" s="1">
        <v>87</v>
      </c>
      <c r="G96" s="1">
        <f>IF(RSA!$C$10,1+F96*RSA!$C$17,"")</f>
        <v>41761</v>
      </c>
      <c r="H96" s="11">
        <f>IF(RSA!$C$10,G96/RSA!$C$18,"")</f>
        <v>5965.8571428571431</v>
      </c>
      <c r="I96" s="1">
        <f>IF(RSA!$C$10,MOD(G96,RSA!$C$18),"")</f>
        <v>6</v>
      </c>
      <c r="J96" s="1" t="str">
        <f>IF(RSA!$C$10,IF(AND(F96&lt;RSA!$C$18,I96=0),H96,""),"")</f>
        <v/>
      </c>
      <c r="K96" s="1"/>
      <c r="L96" s="1"/>
      <c r="M96" s="1"/>
      <c r="N96" s="1"/>
    </row>
    <row r="97" spans="1:14" ht="21.95" customHeight="1">
      <c r="A97" s="1">
        <v>90</v>
      </c>
      <c r="B97" s="1">
        <f>IF(RSA!$C$10,GCD(A97,RSA!$C$17),"")</f>
        <v>30</v>
      </c>
      <c r="C97" s="1" t="b">
        <f>IF(RSA!$C$10,AND(A97&lt;RSA!$C$16,B97=1),FALSE)</f>
        <v>0</v>
      </c>
      <c r="D97" s="1" t="str">
        <f t="shared" si="2"/>
        <v/>
      </c>
      <c r="E97" s="1"/>
      <c r="F97" s="1">
        <v>88</v>
      </c>
      <c r="G97" s="1">
        <f>IF(RSA!$C$10,1+F97*RSA!$C$17,"")</f>
        <v>42241</v>
      </c>
      <c r="H97" s="11">
        <f>IF(RSA!$C$10,G97/RSA!$C$18,"")</f>
        <v>6034.4285714285716</v>
      </c>
      <c r="I97" s="1">
        <f>IF(RSA!$C$10,MOD(G97,RSA!$C$18),"")</f>
        <v>3</v>
      </c>
      <c r="J97" s="1" t="str">
        <f>IF(RSA!$C$10,IF(AND(F97&lt;RSA!$C$18,I97=0),H97,""),"")</f>
        <v/>
      </c>
      <c r="K97" s="1"/>
      <c r="L97" s="1"/>
      <c r="M97" s="1"/>
      <c r="N97" s="1"/>
    </row>
    <row r="98" spans="1:14" ht="21.95" customHeight="1">
      <c r="A98" s="1">
        <v>91</v>
      </c>
      <c r="B98" s="1">
        <f>IF(RSA!$C$10,GCD(A98,RSA!$C$17),"")</f>
        <v>1</v>
      </c>
      <c r="C98" s="1" t="b">
        <f>IF(RSA!$C$10,AND(A98&lt;RSA!$C$16,B98=1),FALSE)</f>
        <v>1</v>
      </c>
      <c r="D98" s="1">
        <f t="shared" si="2"/>
        <v>91</v>
      </c>
      <c r="E98" s="1"/>
      <c r="F98" s="1">
        <v>89</v>
      </c>
      <c r="G98" s="1">
        <f>IF(RSA!$C$10,1+F98*RSA!$C$17,"")</f>
        <v>42721</v>
      </c>
      <c r="H98" s="11">
        <f>IF(RSA!$C$10,G98/RSA!$C$18,"")</f>
        <v>6103</v>
      </c>
      <c r="I98" s="1">
        <f>IF(RSA!$C$10,MOD(G98,RSA!$C$18),"")</f>
        <v>0</v>
      </c>
      <c r="J98" s="1" t="str">
        <f>IF(RSA!$C$10,IF(AND(F98&lt;RSA!$C$18,I98=0),H98,""),"")</f>
        <v/>
      </c>
      <c r="K98" s="1"/>
      <c r="L98" s="1"/>
      <c r="M98" s="1"/>
      <c r="N98" s="1"/>
    </row>
    <row r="99" spans="1:14" ht="21.95" customHeight="1">
      <c r="A99" s="1">
        <v>92</v>
      </c>
      <c r="B99" s="1">
        <f>IF(RSA!$C$10,GCD(A99,RSA!$C$17),"")</f>
        <v>4</v>
      </c>
      <c r="C99" s="1" t="b">
        <f>IF(RSA!$C$10,AND(A99&lt;RSA!$C$16,B99=1),FALSE)</f>
        <v>0</v>
      </c>
      <c r="D99" s="1" t="str">
        <f t="shared" si="2"/>
        <v/>
      </c>
      <c r="E99" s="1"/>
      <c r="F99" s="1">
        <v>90</v>
      </c>
      <c r="G99" s="1">
        <f>IF(RSA!$C$10,1+F99*RSA!$C$17,"")</f>
        <v>43201</v>
      </c>
      <c r="H99" s="11">
        <f>IF(RSA!$C$10,G99/RSA!$C$18,"")</f>
        <v>6171.5714285714284</v>
      </c>
      <c r="I99" s="1">
        <f>IF(RSA!$C$10,MOD(G99,RSA!$C$18),"")</f>
        <v>4</v>
      </c>
      <c r="J99" s="1" t="str">
        <f>IF(RSA!$C$10,IF(AND(F99&lt;RSA!$C$18,I99=0),H99,""),"")</f>
        <v/>
      </c>
      <c r="K99" s="1"/>
      <c r="L99" s="1"/>
      <c r="M99" s="1"/>
      <c r="N99" s="1"/>
    </row>
    <row r="100" spans="1:14" ht="21.95" customHeight="1">
      <c r="A100" s="1">
        <v>93</v>
      </c>
      <c r="B100" s="1">
        <f>IF(RSA!$C$10,GCD(A100,RSA!$C$17),"")</f>
        <v>3</v>
      </c>
      <c r="C100" s="1" t="b">
        <f>IF(RSA!$C$10,AND(A100&lt;RSA!$C$16,B100=1),FALSE)</f>
        <v>0</v>
      </c>
      <c r="D100" s="1" t="str">
        <f t="shared" si="2"/>
        <v/>
      </c>
      <c r="E100" s="1"/>
      <c r="F100" s="1">
        <v>91</v>
      </c>
      <c r="G100" s="1">
        <f>IF(RSA!$C$10,1+F100*RSA!$C$17,"")</f>
        <v>43681</v>
      </c>
      <c r="H100" s="11">
        <f>IF(RSA!$C$10,G100/RSA!$C$18,"")</f>
        <v>6240.1428571428569</v>
      </c>
      <c r="I100" s="1">
        <f>IF(RSA!$C$10,MOD(G100,RSA!$C$18),"")</f>
        <v>1</v>
      </c>
      <c r="J100" s="1" t="str">
        <f>IF(RSA!$C$10,IF(AND(F100&lt;RSA!$C$18,I100=0),H100,""),"")</f>
        <v/>
      </c>
      <c r="K100" s="1"/>
      <c r="L100" s="1"/>
      <c r="M100" s="1"/>
      <c r="N100" s="1"/>
    </row>
    <row r="101" spans="1:14" ht="21.95" customHeight="1">
      <c r="A101" s="1">
        <v>94</v>
      </c>
      <c r="B101" s="1">
        <f>IF(RSA!$C$10,GCD(A101,RSA!$C$17),"")</f>
        <v>2</v>
      </c>
      <c r="C101" s="1" t="b">
        <f>IF(RSA!$C$10,AND(A101&lt;RSA!$C$16,B101=1),FALSE)</f>
        <v>0</v>
      </c>
      <c r="D101" s="1" t="str">
        <f t="shared" si="2"/>
        <v/>
      </c>
      <c r="E101" s="1"/>
      <c r="F101" s="1">
        <v>92</v>
      </c>
      <c r="G101" s="1">
        <f>IF(RSA!$C$10,1+F101*RSA!$C$17,"")</f>
        <v>44161</v>
      </c>
      <c r="H101" s="11">
        <f>IF(RSA!$C$10,G101/RSA!$C$18,"")</f>
        <v>6308.7142857142853</v>
      </c>
      <c r="I101" s="1">
        <f>IF(RSA!$C$10,MOD(G101,RSA!$C$18),"")</f>
        <v>5</v>
      </c>
      <c r="J101" s="1" t="str">
        <f>IF(RSA!$C$10,IF(AND(F101&lt;RSA!$C$18,I101=0),H101,""),"")</f>
        <v/>
      </c>
      <c r="K101" s="1"/>
      <c r="L101" s="1"/>
      <c r="M101" s="1"/>
      <c r="N101" s="1"/>
    </row>
    <row r="102" spans="1:14" ht="21.95" customHeight="1">
      <c r="A102" s="1">
        <v>95</v>
      </c>
      <c r="B102" s="1">
        <f>IF(RSA!$C$10,GCD(A102,RSA!$C$17),"")</f>
        <v>5</v>
      </c>
      <c r="C102" s="1" t="b">
        <f>IF(RSA!$C$10,AND(A102&lt;RSA!$C$16,B102=1),FALSE)</f>
        <v>0</v>
      </c>
      <c r="D102" s="1" t="str">
        <f t="shared" si="2"/>
        <v/>
      </c>
      <c r="E102" s="1"/>
      <c r="F102" s="1">
        <v>93</v>
      </c>
      <c r="G102" s="1">
        <f>IF(RSA!$C$10,1+F102*RSA!$C$17,"")</f>
        <v>44641</v>
      </c>
      <c r="H102" s="11">
        <f>IF(RSA!$C$10,G102/RSA!$C$18,"")</f>
        <v>6377.2857142857147</v>
      </c>
      <c r="I102" s="1">
        <f>IF(RSA!$C$10,MOD(G102,RSA!$C$18),"")</f>
        <v>2</v>
      </c>
      <c r="J102" s="1" t="str">
        <f>IF(RSA!$C$10,IF(AND(F102&lt;RSA!$C$18,I102=0),H102,""),"")</f>
        <v/>
      </c>
      <c r="K102" s="1"/>
      <c r="L102" s="1"/>
      <c r="M102" s="1"/>
      <c r="N102" s="1"/>
    </row>
    <row r="103" spans="1:14" ht="21.95" customHeight="1">
      <c r="A103" s="1">
        <v>96</v>
      </c>
      <c r="B103" s="1">
        <f>IF(RSA!$C$10,GCD(A103,RSA!$C$17),"")</f>
        <v>96</v>
      </c>
      <c r="C103" s="1" t="b">
        <f>IF(RSA!$C$10,AND(A103&lt;RSA!$C$16,B103=1),FALSE)</f>
        <v>0</v>
      </c>
      <c r="D103" s="1" t="str">
        <f t="shared" si="2"/>
        <v/>
      </c>
      <c r="E103" s="1"/>
      <c r="F103" s="1">
        <v>94</v>
      </c>
      <c r="G103" s="1">
        <f>IF(RSA!$C$10,1+F103*RSA!$C$17,"")</f>
        <v>45121</v>
      </c>
      <c r="H103" s="11">
        <f>IF(RSA!$C$10,G103/RSA!$C$18,"")</f>
        <v>6445.8571428571431</v>
      </c>
      <c r="I103" s="1">
        <f>IF(RSA!$C$10,MOD(G103,RSA!$C$18),"")</f>
        <v>6</v>
      </c>
      <c r="J103" s="1" t="str">
        <f>IF(RSA!$C$10,IF(AND(F103&lt;RSA!$C$18,I103=0),H103,""),"")</f>
        <v/>
      </c>
      <c r="K103" s="1"/>
      <c r="L103" s="1"/>
      <c r="M103" s="1"/>
      <c r="N103" s="1"/>
    </row>
    <row r="104" spans="1:14" ht="21.95" customHeight="1">
      <c r="A104" s="1">
        <v>97</v>
      </c>
      <c r="B104" s="1">
        <f>IF(RSA!$C$10,GCD(A104,RSA!$C$17),"")</f>
        <v>1</v>
      </c>
      <c r="C104" s="1" t="b">
        <f>IF(RSA!$C$10,AND(A104&lt;RSA!$C$16,B104=1),FALSE)</f>
        <v>1</v>
      </c>
      <c r="D104" s="1">
        <f t="shared" si="2"/>
        <v>97</v>
      </c>
      <c r="E104" s="1"/>
      <c r="F104" s="1">
        <v>95</v>
      </c>
      <c r="G104" s="1">
        <f>IF(RSA!$C$10,1+F104*RSA!$C$17,"")</f>
        <v>45601</v>
      </c>
      <c r="H104" s="11">
        <f>IF(RSA!$C$10,G104/RSA!$C$18,"")</f>
        <v>6514.4285714285716</v>
      </c>
      <c r="I104" s="1">
        <f>IF(RSA!$C$10,MOD(G104,RSA!$C$18),"")</f>
        <v>3</v>
      </c>
      <c r="J104" s="1" t="str">
        <f>IF(RSA!$C$10,IF(AND(F104&lt;RSA!$C$18,I104=0),H104,""),"")</f>
        <v/>
      </c>
      <c r="K104" s="1"/>
      <c r="L104" s="1"/>
      <c r="M104" s="1"/>
      <c r="N104" s="1"/>
    </row>
    <row r="105" spans="1:14" ht="21.95" customHeight="1">
      <c r="A105" s="1">
        <v>98</v>
      </c>
      <c r="B105" s="1">
        <f>IF(RSA!$C$10,GCD(A105,RSA!$C$17),"")</f>
        <v>2</v>
      </c>
      <c r="C105" s="1" t="b">
        <f>IF(RSA!$C$10,AND(A105&lt;RSA!$C$16,B105=1),FALSE)</f>
        <v>0</v>
      </c>
      <c r="D105" s="1" t="str">
        <f t="shared" ref="D105:D136" si="3">IF(C105,A105,"")</f>
        <v/>
      </c>
      <c r="E105" s="1"/>
      <c r="F105" s="1">
        <v>96</v>
      </c>
      <c r="G105" s="1">
        <f>IF(RSA!$C$10,1+F105*RSA!$C$17,"")</f>
        <v>46081</v>
      </c>
      <c r="H105" s="11">
        <f>IF(RSA!$C$10,G105/RSA!$C$18,"")</f>
        <v>6583</v>
      </c>
      <c r="I105" s="1">
        <f>IF(RSA!$C$10,MOD(G105,RSA!$C$18),"")</f>
        <v>0</v>
      </c>
      <c r="J105" s="1" t="str">
        <f>IF(RSA!$C$10,IF(AND(F105&lt;RSA!$C$18,I105=0),H105,""),"")</f>
        <v/>
      </c>
      <c r="K105" s="1"/>
      <c r="L105" s="1"/>
      <c r="M105" s="1"/>
      <c r="N105" s="1"/>
    </row>
    <row r="106" spans="1:14" ht="21.95" customHeight="1">
      <c r="A106" s="1">
        <v>99</v>
      </c>
      <c r="B106" s="1">
        <f>IF(RSA!$C$10,GCD(A106,RSA!$C$17),"")</f>
        <v>3</v>
      </c>
      <c r="C106" s="1" t="b">
        <f>IF(RSA!$C$10,AND(A106&lt;RSA!$C$16,B106=1),FALSE)</f>
        <v>0</v>
      </c>
      <c r="D106" s="1" t="str">
        <f t="shared" si="3"/>
        <v/>
      </c>
      <c r="E106" s="1"/>
      <c r="F106" s="1">
        <v>97</v>
      </c>
      <c r="G106" s="1">
        <f>IF(RSA!$C$10,1+F106*RSA!$C$17,"")</f>
        <v>46561</v>
      </c>
      <c r="H106" s="11">
        <f>IF(RSA!$C$10,G106/RSA!$C$18,"")</f>
        <v>6651.5714285714284</v>
      </c>
      <c r="I106" s="1">
        <f>IF(RSA!$C$10,MOD(G106,RSA!$C$18),"")</f>
        <v>4</v>
      </c>
      <c r="J106" s="1" t="str">
        <f>IF(RSA!$C$10,IF(AND(F106&lt;RSA!$C$18,I106=0),H106,""),"")</f>
        <v/>
      </c>
      <c r="K106" s="1"/>
      <c r="L106" s="1"/>
      <c r="M106" s="1"/>
      <c r="N106" s="1"/>
    </row>
    <row r="107" spans="1:14" ht="21.95" customHeight="1">
      <c r="A107" s="1"/>
      <c r="B107" s="1"/>
      <c r="C107" s="1"/>
      <c r="D107" s="1"/>
      <c r="E107" s="1"/>
      <c r="F107" s="1">
        <v>98</v>
      </c>
      <c r="G107" s="1">
        <f>IF(RSA!$C$10,1+F107*RSA!$C$17,"")</f>
        <v>47041</v>
      </c>
      <c r="H107" s="11">
        <f>IF(RSA!$C$10,G107/RSA!$C$18,"")</f>
        <v>6720.1428571428569</v>
      </c>
      <c r="I107" s="1">
        <f>IF(RSA!$C$10,MOD(G107,RSA!$C$18),"")</f>
        <v>1</v>
      </c>
      <c r="J107" s="1" t="str">
        <f>IF(RSA!$C$10,IF(AND(F107&lt;RSA!$C$18,I107=0),H107,""),"")</f>
        <v/>
      </c>
      <c r="K107" s="1"/>
      <c r="L107" s="1"/>
      <c r="M107" s="1"/>
      <c r="N107" s="1"/>
    </row>
    <row r="108" spans="1:14" ht="21.9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21.9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21.9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</sheetData>
  <conditionalFormatting sqref="F9:J107">
    <cfRule type="expression" dxfId="0" priority="2">
      <formula>ISNUMBER($J9)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AND($C9=TRUE,$A9=RSA!$C$18)</xm:f>
            <x14:dxf>
              <fill>
                <patternFill>
                  <bgColor rgb="FFE2EBF4"/>
                </patternFill>
              </fill>
            </x14:dxf>
          </x14:cfRule>
          <xm:sqref>A9:D106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583A8"/>
  </sheetPr>
  <dimension ref="A1:O295"/>
  <sheetViews>
    <sheetView showGridLines="0" workbookViewId="0">
      <pane ySplit="7" topLeftCell="A8" activePane="bottomLeft" state="frozen"/>
      <selection pane="bottomLeft" activeCell="E25" sqref="E25"/>
    </sheetView>
  </sheetViews>
  <sheetFormatPr defaultRowHeight="14.25"/>
  <cols>
    <col min="1" max="7" width="13" customWidth="1"/>
    <col min="8" max="8" width="3" customWidth="1"/>
    <col min="9" max="15" width="13" customWidth="1"/>
  </cols>
  <sheetData>
    <row r="1" spans="1:15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95" customHeight="1">
      <c r="A2" s="2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1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1.95" customHeight="1">
      <c r="A4" s="1" t="s">
        <v>71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1.95" customHeight="1">
      <c r="A5" s="1" t="s">
        <v>72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1.95" customHeight="1">
      <c r="A6" s="1" t="s">
        <v>73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1.95" customHeight="1">
      <c r="A7" s="1" t="s">
        <v>74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1.95" customHeight="1">
      <c r="A8" s="1" t="s">
        <v>75</v>
      </c>
      <c r="B8" s="1"/>
      <c r="C8" s="1"/>
      <c r="D8" s="1"/>
      <c r="E8" s="1"/>
      <c r="F8" s="1"/>
      <c r="G8" s="1"/>
      <c r="H8" s="1"/>
      <c r="I8" s="1" t="s">
        <v>76</v>
      </c>
      <c r="J8" s="1"/>
      <c r="K8" s="1"/>
      <c r="L8" s="1"/>
      <c r="M8" s="1"/>
      <c r="N8" s="1"/>
      <c r="O8" s="1"/>
    </row>
    <row r="9" spans="1:15" ht="32.1" customHeight="1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83</v>
      </c>
      <c r="H9" s="1"/>
      <c r="I9" s="4" t="s">
        <v>77</v>
      </c>
      <c r="J9" s="4" t="s">
        <v>78</v>
      </c>
      <c r="K9" s="4" t="s">
        <v>79</v>
      </c>
      <c r="L9" s="4" t="s">
        <v>80</v>
      </c>
      <c r="M9" s="4" t="s">
        <v>81</v>
      </c>
      <c r="N9" s="4" t="s">
        <v>82</v>
      </c>
      <c r="O9" s="4" t="s">
        <v>83</v>
      </c>
    </row>
    <row r="10" spans="1:15" ht="21.95" customHeight="1">
      <c r="A10" s="1">
        <v>1</v>
      </c>
      <c r="B10" s="1">
        <f>IF(OR(RSA!$C$12&lt;&gt;"Ready",LEN(RSA!C42)=0),"",RSA!$C$18)</f>
        <v>7</v>
      </c>
      <c r="C10" s="1">
        <f>IF(OR(RSA!$C$12&lt;&gt;"Ready",LEN(RSA!C42)=0),"",RSA!D42)</f>
        <v>72</v>
      </c>
      <c r="D10" s="1">
        <f>IF(OR(RSA!$C$12&lt;&gt;"Ready",LEN(RSA!C42)=0),"",MOD(B10,2))</f>
        <v>1</v>
      </c>
      <c r="E10" s="1">
        <f>IF(OR(RSA!$C$12&lt;&gt;"Ready",LEN(RSA!C42)=0),"",1)</f>
        <v>1</v>
      </c>
      <c r="F10" s="1">
        <f>IF(OR(RSA!$C$12&lt;&gt;"Ready",LEN(RSA!C42)=0),"",IF(D10=1,C10,1))</f>
        <v>72</v>
      </c>
      <c r="G10" s="1">
        <f>IF(OR(RSA!$C$12&lt;&gt;"Ready",LEN(RSA!C42)=0),"",MOD(E10*F10,RSA!$C$16))</f>
        <v>72</v>
      </c>
      <c r="H10" s="1"/>
      <c r="I10" s="1">
        <v>1</v>
      </c>
      <c r="J10" s="1">
        <f>IF(OR(RSA!$C$12&lt;&gt;"Ready",LEN(RSA!C42)=0),"",RSA!$C$19)</f>
        <v>343</v>
      </c>
      <c r="K10" s="1">
        <f>IF(OR(RSA!$C$12&lt;&gt;"Ready",LEN(RSA!C42)=0),"",RSA!F42)</f>
        <v>474</v>
      </c>
      <c r="L10" s="1">
        <f>IF(OR(RSA!$C$12&lt;&gt;"Ready",LEN(RSA!C42)=0),"",MOD(J10,2))</f>
        <v>1</v>
      </c>
      <c r="M10" s="1">
        <f>IF(OR(RSA!$C$12&lt;&gt;"Ready",LEN(RSA!C42)=0),"",1)</f>
        <v>1</v>
      </c>
      <c r="N10" s="1">
        <f>IF(OR(RSA!$C$12&lt;&gt;"Ready",LEN(RSA!C42)=0),"",IF(L10=1,K10,1))</f>
        <v>474</v>
      </c>
      <c r="O10" s="1">
        <f>IF(OR(RSA!$C$12&lt;&gt;"Ready",LEN(RSA!C42)=0),"",MOD(M10*N10,RSA!$C$16))</f>
        <v>474</v>
      </c>
    </row>
    <row r="11" spans="1:15" ht="21.95" customHeight="1">
      <c r="A11" s="1">
        <v>2</v>
      </c>
      <c r="B11" s="1">
        <f>IF(OR(RSA!$C$12&lt;&gt;"Ready",LEN(RSA!C42)=0),"",INT(B10/2))</f>
        <v>3</v>
      </c>
      <c r="C11" s="1">
        <f>IF(OR(RSA!$C$12&lt;&gt;"Ready",LEN(RSA!C42)=0),"",MOD(C10*C10,RSA!$C$16))</f>
        <v>387</v>
      </c>
      <c r="D11" s="1">
        <f>IF(OR(RSA!$C$12&lt;&gt;"Ready",LEN(RSA!C42)=0),"",MOD(B11,2))</f>
        <v>1</v>
      </c>
      <c r="E11" s="1">
        <f>IF(OR(RSA!$C$12&lt;&gt;"Ready",LEN(RSA!C42)=0),"",G10)</f>
        <v>72</v>
      </c>
      <c r="F11" s="1">
        <f>IF(OR(RSA!$C$12&lt;&gt;"Ready",LEN(RSA!C42)=0),"",IF(D11=1,C11,1))</f>
        <v>387</v>
      </c>
      <c r="G11" s="1">
        <f>IF(OR(RSA!$C$12&lt;&gt;"Ready",LEN(RSA!C42)=0),"",MOD(E11*F11,RSA!$C$16))</f>
        <v>148</v>
      </c>
      <c r="H11" s="1"/>
      <c r="I11" s="1">
        <v>2</v>
      </c>
      <c r="J11" s="1">
        <f>IF(OR(RSA!$C$12&lt;&gt;"Ready",LEN(RSA!C42)=0),"",INT(J10/2))</f>
        <v>171</v>
      </c>
      <c r="K11" s="1">
        <f>IF(OR(RSA!$C$12&lt;&gt;"Ready",LEN(RSA!C42)=0),"",MOD(K10*K10,RSA!$C$16))</f>
        <v>283</v>
      </c>
      <c r="L11" s="1">
        <f>IF(OR(RSA!$C$12&lt;&gt;"Ready",LEN(RSA!C42)=0),"",MOD(J11,2))</f>
        <v>1</v>
      </c>
      <c r="M11" s="1">
        <f>IF(OR(RSA!$C$12&lt;&gt;"Ready",LEN(RSA!C42)=0),"",O10)</f>
        <v>474</v>
      </c>
      <c r="N11" s="1">
        <f>IF(OR(RSA!$C$12&lt;&gt;"Ready",LEN(RSA!C42)=0),"",IF(L11=1,K11,1))</f>
        <v>283</v>
      </c>
      <c r="O11" s="1">
        <f>IF(OR(RSA!$C$12&lt;&gt;"Ready",LEN(RSA!C42)=0),"",MOD(M11*N11,RSA!$C$16))</f>
        <v>359</v>
      </c>
    </row>
    <row r="12" spans="1:15" ht="21.95" customHeight="1">
      <c r="A12" s="1">
        <v>3</v>
      </c>
      <c r="B12" s="1">
        <f>IF(OR(RSA!$C$12&lt;&gt;"Ready",LEN(RSA!C42)=0),"",INT(B11/2))</f>
        <v>1</v>
      </c>
      <c r="C12" s="1">
        <f>IF(OR(RSA!$C$12&lt;&gt;"Ready",LEN(RSA!C42)=0),"",MOD(C11*C11,RSA!$C$16))</f>
        <v>529</v>
      </c>
      <c r="D12" s="1">
        <f>IF(OR(RSA!$C$12&lt;&gt;"Ready",LEN(RSA!C42)=0),"",MOD(B12,2))</f>
        <v>1</v>
      </c>
      <c r="E12" s="1">
        <f>IF(OR(RSA!$C$12&lt;&gt;"Ready",LEN(RSA!C42)=0),"",G11)</f>
        <v>148</v>
      </c>
      <c r="F12" s="1">
        <f>IF(OR(RSA!$C$12&lt;&gt;"Ready",LEN(RSA!C42)=0),"",IF(D12=1,C12,1))</f>
        <v>529</v>
      </c>
      <c r="G12" s="1">
        <f>IF(OR(RSA!$C$12&lt;&gt;"Ready",LEN(RSA!C42)=0),"",MOD(E12*F12,RSA!$C$16))</f>
        <v>474</v>
      </c>
      <c r="H12" s="1"/>
      <c r="I12" s="1">
        <v>3</v>
      </c>
      <c r="J12" s="1">
        <f>IF(OR(RSA!$C$12&lt;&gt;"Ready",LEN(RSA!C42)=0),"",INT(J11/2))</f>
        <v>85</v>
      </c>
      <c r="K12" s="1">
        <f>IF(OR(RSA!$C$12&lt;&gt;"Ready",LEN(RSA!C42)=0),"",MOD(K11*K11,RSA!$C$16))</f>
        <v>139</v>
      </c>
      <c r="L12" s="1">
        <f>IF(OR(RSA!$C$12&lt;&gt;"Ready",LEN(RSA!C42)=0),"",MOD(J12,2))</f>
        <v>1</v>
      </c>
      <c r="M12" s="1">
        <f>IF(OR(RSA!$C$12&lt;&gt;"Ready",LEN(RSA!C42)=0),"",O11)</f>
        <v>359</v>
      </c>
      <c r="N12" s="1">
        <f>IF(OR(RSA!$C$12&lt;&gt;"Ready",LEN(RSA!C42)=0),"",IF(L12=1,K12,1))</f>
        <v>139</v>
      </c>
      <c r="O12" s="1">
        <f>IF(OR(RSA!$C$12&lt;&gt;"Ready",LEN(RSA!C42)=0),"",MOD(M12*N12,RSA!$C$16))</f>
        <v>332</v>
      </c>
    </row>
    <row r="13" spans="1:15" ht="21.95" customHeight="1">
      <c r="A13" s="1">
        <v>4</v>
      </c>
      <c r="B13" s="1">
        <f>IF(OR(RSA!$C$12&lt;&gt;"Ready",LEN(RSA!C42)=0),"",INT(B12/2))</f>
        <v>0</v>
      </c>
      <c r="C13" s="1">
        <f>IF(OR(RSA!$C$12&lt;&gt;"Ready",LEN(RSA!C42)=0),"",MOD(C12*C12,RSA!$C$16))</f>
        <v>16</v>
      </c>
      <c r="D13" s="1">
        <f>IF(OR(RSA!$C$12&lt;&gt;"Ready",LEN(RSA!C42)=0),"",MOD(B13,2))</f>
        <v>0</v>
      </c>
      <c r="E13" s="1">
        <f>IF(OR(RSA!$C$12&lt;&gt;"Ready",LEN(RSA!C42)=0),"",G12)</f>
        <v>474</v>
      </c>
      <c r="F13" s="1">
        <f>IF(OR(RSA!$C$12&lt;&gt;"Ready",LEN(RSA!C42)=0),"",IF(D13=1,C13,1))</f>
        <v>1</v>
      </c>
      <c r="G13" s="1">
        <f>IF(OR(RSA!$C$12&lt;&gt;"Ready",LEN(RSA!C42)=0),"",MOD(E13*F13,RSA!$C$16))</f>
        <v>474</v>
      </c>
      <c r="H13" s="1"/>
      <c r="I13" s="1">
        <v>4</v>
      </c>
      <c r="J13" s="1">
        <f>IF(OR(RSA!$C$12&lt;&gt;"Ready",LEN(RSA!C42)=0),"",INT(J12/2))</f>
        <v>42</v>
      </c>
      <c r="K13" s="1">
        <f>IF(OR(RSA!$C$12&lt;&gt;"Ready",LEN(RSA!C42)=0),"",MOD(K12*K12,RSA!$C$16))</f>
        <v>133</v>
      </c>
      <c r="L13" s="1">
        <f>IF(OR(RSA!$C$12&lt;&gt;"Ready",LEN(RSA!C42)=0),"",MOD(J13,2))</f>
        <v>0</v>
      </c>
      <c r="M13" s="1">
        <f>IF(OR(RSA!$C$12&lt;&gt;"Ready",LEN(RSA!C42)=0),"",O12)</f>
        <v>332</v>
      </c>
      <c r="N13" s="1">
        <f>IF(OR(RSA!$C$12&lt;&gt;"Ready",LEN(RSA!C42)=0),"",IF(L13=1,K13,1))</f>
        <v>1</v>
      </c>
      <c r="O13" s="1">
        <f>IF(OR(RSA!$C$12&lt;&gt;"Ready",LEN(RSA!C42)=0),"",MOD(M13*N13,RSA!$C$16))</f>
        <v>332</v>
      </c>
    </row>
    <row r="14" spans="1:15" ht="21.95" customHeight="1">
      <c r="A14" s="1">
        <v>5</v>
      </c>
      <c r="B14" s="1">
        <f>IF(OR(RSA!$C$12&lt;&gt;"Ready",LEN(RSA!C42)=0),"",INT(B13/2))</f>
        <v>0</v>
      </c>
      <c r="C14" s="1">
        <f>IF(OR(RSA!$C$12&lt;&gt;"Ready",LEN(RSA!C42)=0),"",MOD(C13*C13,RSA!$C$16))</f>
        <v>256</v>
      </c>
      <c r="D14" s="1">
        <f>IF(OR(RSA!$C$12&lt;&gt;"Ready",LEN(RSA!C42)=0),"",MOD(B14,2))</f>
        <v>0</v>
      </c>
      <c r="E14" s="1">
        <f>IF(OR(RSA!$C$12&lt;&gt;"Ready",LEN(RSA!C42)=0),"",G13)</f>
        <v>474</v>
      </c>
      <c r="F14" s="1">
        <f>IF(OR(RSA!$C$12&lt;&gt;"Ready",LEN(RSA!C42)=0),"",IF(D14=1,C14,1))</f>
        <v>1</v>
      </c>
      <c r="G14" s="1">
        <f>IF(OR(RSA!$C$12&lt;&gt;"Ready",LEN(RSA!C42)=0),"",MOD(E14*F14,RSA!$C$16))</f>
        <v>474</v>
      </c>
      <c r="H14" s="1"/>
      <c r="I14" s="1">
        <v>5</v>
      </c>
      <c r="J14" s="1">
        <f>IF(OR(RSA!$C$12&lt;&gt;"Ready",LEN(RSA!C42)=0),"",INT(J13/2))</f>
        <v>21</v>
      </c>
      <c r="K14" s="1">
        <f>IF(OR(RSA!$C$12&lt;&gt;"Ready",LEN(RSA!C42)=0),"",MOD(K13*K13,RSA!$C$16))</f>
        <v>100</v>
      </c>
      <c r="L14" s="1">
        <f>IF(OR(RSA!$C$12&lt;&gt;"Ready",LEN(RSA!C42)=0),"",MOD(J14,2))</f>
        <v>1</v>
      </c>
      <c r="M14" s="1">
        <f>IF(OR(RSA!$C$12&lt;&gt;"Ready",LEN(RSA!C42)=0),"",O13)</f>
        <v>332</v>
      </c>
      <c r="N14" s="1">
        <f>IF(OR(RSA!$C$12&lt;&gt;"Ready",LEN(RSA!C42)=0),"",IF(L14=1,K14,1))</f>
        <v>100</v>
      </c>
      <c r="O14" s="1">
        <f>IF(OR(RSA!$C$12&lt;&gt;"Ready",LEN(RSA!C42)=0),"",MOD(M14*N14,RSA!$C$16))</f>
        <v>154</v>
      </c>
    </row>
    <row r="15" spans="1:15" ht="21.95" customHeight="1">
      <c r="A15" s="1">
        <v>6</v>
      </c>
      <c r="B15" s="1">
        <f>IF(OR(RSA!$C$12&lt;&gt;"Ready",LEN(RSA!C42)=0),"",INT(B14/2))</f>
        <v>0</v>
      </c>
      <c r="C15" s="1">
        <f>IF(OR(RSA!$C$12&lt;&gt;"Ready",LEN(RSA!C42)=0),"",MOD(C14*C14,RSA!$C$16))</f>
        <v>510</v>
      </c>
      <c r="D15" s="1">
        <f>IF(OR(RSA!$C$12&lt;&gt;"Ready",LEN(RSA!C42)=0),"",MOD(B15,2))</f>
        <v>0</v>
      </c>
      <c r="E15" s="1">
        <f>IF(OR(RSA!$C$12&lt;&gt;"Ready",LEN(RSA!C42)=0),"",G14)</f>
        <v>474</v>
      </c>
      <c r="F15" s="1">
        <f>IF(OR(RSA!$C$12&lt;&gt;"Ready",LEN(RSA!C42)=0),"",IF(D15=1,C15,1))</f>
        <v>1</v>
      </c>
      <c r="G15" s="1">
        <f>IF(OR(RSA!$C$12&lt;&gt;"Ready",LEN(RSA!C42)=0),"",MOD(E15*F15,RSA!$C$16))</f>
        <v>474</v>
      </c>
      <c r="H15" s="1"/>
      <c r="I15" s="1">
        <v>6</v>
      </c>
      <c r="J15" s="1">
        <f>IF(OR(RSA!$C$12&lt;&gt;"Ready",LEN(RSA!C42)=0),"",INT(J14/2))</f>
        <v>10</v>
      </c>
      <c r="K15" s="1">
        <f>IF(OR(RSA!$C$12&lt;&gt;"Ready",LEN(RSA!C42)=0),"",MOD(K14*K14,RSA!$C$16))</f>
        <v>406</v>
      </c>
      <c r="L15" s="1">
        <f>IF(OR(RSA!$C$12&lt;&gt;"Ready",LEN(RSA!C42)=0),"",MOD(J15,2))</f>
        <v>0</v>
      </c>
      <c r="M15" s="1">
        <f>IF(OR(RSA!$C$12&lt;&gt;"Ready",LEN(RSA!C42)=0),"",O14)</f>
        <v>154</v>
      </c>
      <c r="N15" s="1">
        <f>IF(OR(RSA!$C$12&lt;&gt;"Ready",LEN(RSA!C42)=0),"",IF(L15=1,K15,1))</f>
        <v>1</v>
      </c>
      <c r="O15" s="1">
        <f>IF(OR(RSA!$C$12&lt;&gt;"Ready",LEN(RSA!C42)=0),"",MOD(M15*N15,RSA!$C$16))</f>
        <v>154</v>
      </c>
    </row>
    <row r="16" spans="1:15" ht="21.95" customHeight="1">
      <c r="A16" s="1">
        <v>7</v>
      </c>
      <c r="B16" s="1">
        <f>IF(OR(RSA!$C$12&lt;&gt;"Ready",LEN(RSA!C42)=0),"",INT(B15/2))</f>
        <v>0</v>
      </c>
      <c r="C16" s="1">
        <f>IF(OR(RSA!$C$12&lt;&gt;"Ready",LEN(RSA!C42)=0),"",MOD(C15*C15,RSA!$C$16))</f>
        <v>529</v>
      </c>
      <c r="D16" s="1">
        <f>IF(OR(RSA!$C$12&lt;&gt;"Ready",LEN(RSA!C42)=0),"",MOD(B16,2))</f>
        <v>0</v>
      </c>
      <c r="E16" s="1">
        <f>IF(OR(RSA!$C$12&lt;&gt;"Ready",LEN(RSA!C42)=0),"",G15)</f>
        <v>474</v>
      </c>
      <c r="F16" s="1">
        <f>IF(OR(RSA!$C$12&lt;&gt;"Ready",LEN(RSA!C42)=0),"",IF(D16=1,C16,1))</f>
        <v>1</v>
      </c>
      <c r="G16" s="1">
        <f>IF(OR(RSA!$C$12&lt;&gt;"Ready",LEN(RSA!C42)=0),"",MOD(E16*F16,RSA!$C$16))</f>
        <v>474</v>
      </c>
      <c r="H16" s="1"/>
      <c r="I16" s="1">
        <v>7</v>
      </c>
      <c r="J16" s="1">
        <f>IF(OR(RSA!$C$12&lt;&gt;"Ready",LEN(RSA!C42)=0),"",INT(J15/2))</f>
        <v>5</v>
      </c>
      <c r="K16" s="1">
        <f>IF(OR(RSA!$C$12&lt;&gt;"Ready",LEN(RSA!C42)=0),"",MOD(K15*K15,RSA!$C$16))</f>
        <v>139</v>
      </c>
      <c r="L16" s="1">
        <f>IF(OR(RSA!$C$12&lt;&gt;"Ready",LEN(RSA!C42)=0),"",MOD(J16,2))</f>
        <v>1</v>
      </c>
      <c r="M16" s="1">
        <f>IF(OR(RSA!$C$12&lt;&gt;"Ready",LEN(RSA!C42)=0),"",O15)</f>
        <v>154</v>
      </c>
      <c r="N16" s="1">
        <f>IF(OR(RSA!$C$12&lt;&gt;"Ready",LEN(RSA!C42)=0),"",IF(L16=1,K16,1))</f>
        <v>139</v>
      </c>
      <c r="O16" s="1">
        <f>IF(OR(RSA!$C$12&lt;&gt;"Ready",LEN(RSA!C42)=0),"",MOD(M16*N16,RSA!$C$16))</f>
        <v>86</v>
      </c>
    </row>
    <row r="17" spans="1:15" ht="21.95" customHeight="1">
      <c r="A17" s="1">
        <v>8</v>
      </c>
      <c r="B17" s="1">
        <f>IF(OR(RSA!$C$12&lt;&gt;"Ready",LEN(RSA!C42)=0),"",INT(B16/2))</f>
        <v>0</v>
      </c>
      <c r="C17" s="1">
        <f>IF(OR(RSA!$C$12&lt;&gt;"Ready",LEN(RSA!C42)=0),"",MOD(C16*C16,RSA!$C$16))</f>
        <v>16</v>
      </c>
      <c r="D17" s="1">
        <f>IF(OR(RSA!$C$12&lt;&gt;"Ready",LEN(RSA!C42)=0),"",MOD(B17,2))</f>
        <v>0</v>
      </c>
      <c r="E17" s="1">
        <f>IF(OR(RSA!$C$12&lt;&gt;"Ready",LEN(RSA!C42)=0),"",G16)</f>
        <v>474</v>
      </c>
      <c r="F17" s="1">
        <f>IF(OR(RSA!$C$12&lt;&gt;"Ready",LEN(RSA!C42)=0),"",IF(D17=1,C17,1))</f>
        <v>1</v>
      </c>
      <c r="G17" s="1">
        <f>IF(OR(RSA!$C$12&lt;&gt;"Ready",LEN(RSA!C42)=0),"",MOD(E17*F17,RSA!$C$16))</f>
        <v>474</v>
      </c>
      <c r="H17" s="1"/>
      <c r="I17" s="1">
        <v>8</v>
      </c>
      <c r="J17" s="1">
        <f>IF(OR(RSA!$C$12&lt;&gt;"Ready",LEN(RSA!C42)=0),"",INT(J16/2))</f>
        <v>2</v>
      </c>
      <c r="K17" s="1">
        <f>IF(OR(RSA!$C$12&lt;&gt;"Ready",LEN(RSA!C42)=0),"",MOD(K16*K16,RSA!$C$16))</f>
        <v>133</v>
      </c>
      <c r="L17" s="1">
        <f>IF(OR(RSA!$C$12&lt;&gt;"Ready",LEN(RSA!C42)=0),"",MOD(J17,2))</f>
        <v>0</v>
      </c>
      <c r="M17" s="1">
        <f>IF(OR(RSA!$C$12&lt;&gt;"Ready",LEN(RSA!C42)=0),"",O16)</f>
        <v>86</v>
      </c>
      <c r="N17" s="1">
        <f>IF(OR(RSA!$C$12&lt;&gt;"Ready",LEN(RSA!C42)=0),"",IF(L17=1,K17,1))</f>
        <v>1</v>
      </c>
      <c r="O17" s="1">
        <f>IF(OR(RSA!$C$12&lt;&gt;"Ready",LEN(RSA!C42)=0),"",MOD(M17*N17,RSA!$C$16))</f>
        <v>86</v>
      </c>
    </row>
    <row r="18" spans="1:15" ht="21.95" customHeight="1">
      <c r="A18" s="1">
        <v>9</v>
      </c>
      <c r="B18" s="1">
        <f>IF(OR(RSA!$C$12&lt;&gt;"Ready",LEN(RSA!C42)=0),"",INT(B17/2))</f>
        <v>0</v>
      </c>
      <c r="C18" s="1">
        <f>IF(OR(RSA!$C$12&lt;&gt;"Ready",LEN(RSA!C42)=0),"",MOD(C17*C17,RSA!$C$16))</f>
        <v>256</v>
      </c>
      <c r="D18" s="1">
        <f>IF(OR(RSA!$C$12&lt;&gt;"Ready",LEN(RSA!C42)=0),"",MOD(B18,2))</f>
        <v>0</v>
      </c>
      <c r="E18" s="1">
        <f>IF(OR(RSA!$C$12&lt;&gt;"Ready",LEN(RSA!C42)=0),"",G17)</f>
        <v>474</v>
      </c>
      <c r="F18" s="1">
        <f>IF(OR(RSA!$C$12&lt;&gt;"Ready",LEN(RSA!C42)=0),"",IF(D18=1,C18,1))</f>
        <v>1</v>
      </c>
      <c r="G18" s="1">
        <f>IF(OR(RSA!$C$12&lt;&gt;"Ready",LEN(RSA!C42)=0),"",MOD(E18*F18,RSA!$C$16))</f>
        <v>474</v>
      </c>
      <c r="H18" s="1"/>
      <c r="I18" s="1">
        <v>9</v>
      </c>
      <c r="J18" s="1">
        <f>IF(OR(RSA!$C$12&lt;&gt;"Ready",LEN(RSA!C42)=0),"",INT(J17/2))</f>
        <v>1</v>
      </c>
      <c r="K18" s="1">
        <f>IF(OR(RSA!$C$12&lt;&gt;"Ready",LEN(RSA!C42)=0),"",MOD(K17*K17,RSA!$C$16))</f>
        <v>100</v>
      </c>
      <c r="L18" s="1">
        <f>IF(OR(RSA!$C$12&lt;&gt;"Ready",LEN(RSA!C42)=0),"",MOD(J18,2))</f>
        <v>1</v>
      </c>
      <c r="M18" s="1">
        <f>IF(OR(RSA!$C$12&lt;&gt;"Ready",LEN(RSA!C42)=0),"",O17)</f>
        <v>86</v>
      </c>
      <c r="N18" s="1">
        <f>IF(OR(RSA!$C$12&lt;&gt;"Ready",LEN(RSA!C42)=0),"",IF(L18=1,K18,1))</f>
        <v>100</v>
      </c>
      <c r="O18" s="1">
        <f>IF(OR(RSA!$C$12&lt;&gt;"Ready",LEN(RSA!C42)=0),"",MOD(M18*N18,RSA!$C$16))</f>
        <v>72</v>
      </c>
    </row>
    <row r="19" spans="1:15" ht="21.95" customHeight="1">
      <c r="A19" s="1">
        <v>10</v>
      </c>
      <c r="B19" s="1">
        <f>IF(OR(RSA!$C$12&lt;&gt;"Ready",LEN(RSA!C42)=0),"",INT(B18/2))</f>
        <v>0</v>
      </c>
      <c r="C19" s="1">
        <f>IF(OR(RSA!$C$12&lt;&gt;"Ready",LEN(RSA!C42)=0),"",MOD(C18*C18,RSA!$C$16))</f>
        <v>510</v>
      </c>
      <c r="D19" s="1">
        <f>IF(OR(RSA!$C$12&lt;&gt;"Ready",LEN(RSA!C42)=0),"",MOD(B19,2))</f>
        <v>0</v>
      </c>
      <c r="E19" s="1">
        <f>IF(OR(RSA!$C$12&lt;&gt;"Ready",LEN(RSA!C42)=0),"",G18)</f>
        <v>474</v>
      </c>
      <c r="F19" s="1">
        <f>IF(OR(RSA!$C$12&lt;&gt;"Ready",LEN(RSA!C42)=0),"",IF(D19=1,C19,1))</f>
        <v>1</v>
      </c>
      <c r="G19" s="1">
        <f>IF(OR(RSA!$C$12&lt;&gt;"Ready",LEN(RSA!C42)=0),"",MOD(E19*F19,RSA!$C$16))</f>
        <v>474</v>
      </c>
      <c r="H19" s="1"/>
      <c r="I19" s="1">
        <v>10</v>
      </c>
      <c r="J19" s="1">
        <f>IF(OR(RSA!$C$12&lt;&gt;"Ready",LEN(RSA!C42)=0),"",INT(J18/2))</f>
        <v>0</v>
      </c>
      <c r="K19" s="1">
        <f>IF(OR(RSA!$C$12&lt;&gt;"Ready",LEN(RSA!C42)=0),"",MOD(K18*K18,RSA!$C$16))</f>
        <v>406</v>
      </c>
      <c r="L19" s="1">
        <f>IF(OR(RSA!$C$12&lt;&gt;"Ready",LEN(RSA!C42)=0),"",MOD(J19,2))</f>
        <v>0</v>
      </c>
      <c r="M19" s="1">
        <f>IF(OR(RSA!$C$12&lt;&gt;"Ready",LEN(RSA!C42)=0),"",O18)</f>
        <v>72</v>
      </c>
      <c r="N19" s="1">
        <f>IF(OR(RSA!$C$12&lt;&gt;"Ready",LEN(RSA!C42)=0),"",IF(L19=1,K19,1))</f>
        <v>1</v>
      </c>
      <c r="O19" s="1">
        <f>IF(OR(RSA!$C$12&lt;&gt;"Ready",LEN(RSA!C42)=0),"",MOD(M19*N19,RSA!$C$16))</f>
        <v>72</v>
      </c>
    </row>
    <row r="20" spans="1:15" ht="21.95" customHeight="1">
      <c r="A20" s="1">
        <v>11</v>
      </c>
      <c r="B20" s="1">
        <f>IF(OR(RSA!$C$12&lt;&gt;"Ready",LEN(RSA!C42)=0),"",INT(B19/2))</f>
        <v>0</v>
      </c>
      <c r="C20" s="1">
        <f>IF(OR(RSA!$C$12&lt;&gt;"Ready",LEN(RSA!C42)=0),"",MOD(C19*C19,RSA!$C$16))</f>
        <v>529</v>
      </c>
      <c r="D20" s="1">
        <f>IF(OR(RSA!$C$12&lt;&gt;"Ready",LEN(RSA!C42)=0),"",MOD(B20,2))</f>
        <v>0</v>
      </c>
      <c r="E20" s="1">
        <f>IF(OR(RSA!$C$12&lt;&gt;"Ready",LEN(RSA!C42)=0),"",G19)</f>
        <v>474</v>
      </c>
      <c r="F20" s="1">
        <f>IF(OR(RSA!$C$12&lt;&gt;"Ready",LEN(RSA!C42)=0),"",IF(D20=1,C20,1))</f>
        <v>1</v>
      </c>
      <c r="G20" s="1">
        <f>IF(OR(RSA!$C$12&lt;&gt;"Ready",LEN(RSA!C42)=0),"",MOD(E20*F20,RSA!$C$16))</f>
        <v>474</v>
      </c>
      <c r="H20" s="1"/>
      <c r="I20" s="1">
        <v>11</v>
      </c>
      <c r="J20" s="1">
        <f>IF(OR(RSA!$C$12&lt;&gt;"Ready",LEN(RSA!C42)=0),"",INT(J19/2))</f>
        <v>0</v>
      </c>
      <c r="K20" s="1">
        <f>IF(OR(RSA!$C$12&lt;&gt;"Ready",LEN(RSA!C42)=0),"",MOD(K19*K19,RSA!$C$16))</f>
        <v>139</v>
      </c>
      <c r="L20" s="1">
        <f>IF(OR(RSA!$C$12&lt;&gt;"Ready",LEN(RSA!C42)=0),"",MOD(J20,2))</f>
        <v>0</v>
      </c>
      <c r="M20" s="1">
        <f>IF(OR(RSA!$C$12&lt;&gt;"Ready",LEN(RSA!C42)=0),"",O19)</f>
        <v>72</v>
      </c>
      <c r="N20" s="1">
        <f>IF(OR(RSA!$C$12&lt;&gt;"Ready",LEN(RSA!C42)=0),"",IF(L20=1,K20,1))</f>
        <v>1</v>
      </c>
      <c r="O20" s="1">
        <f>IF(OR(RSA!$C$12&lt;&gt;"Ready",LEN(RSA!C42)=0),"",MOD(M20*N20,RSA!$C$16))</f>
        <v>72</v>
      </c>
    </row>
    <row r="21" spans="1:15" ht="21.95" customHeight="1">
      <c r="A21" s="1">
        <v>12</v>
      </c>
      <c r="B21" s="1">
        <f>IF(OR(RSA!$C$12&lt;&gt;"Ready",LEN(RSA!C42)=0),"",INT(B20/2))</f>
        <v>0</v>
      </c>
      <c r="C21" s="1">
        <f>IF(OR(RSA!$C$12&lt;&gt;"Ready",LEN(RSA!C42)=0),"",MOD(C20*C20,RSA!$C$16))</f>
        <v>16</v>
      </c>
      <c r="D21" s="1">
        <f>IF(OR(RSA!$C$12&lt;&gt;"Ready",LEN(RSA!C42)=0),"",MOD(B21,2))</f>
        <v>0</v>
      </c>
      <c r="E21" s="1">
        <f>IF(OR(RSA!$C$12&lt;&gt;"Ready",LEN(RSA!C42)=0),"",G20)</f>
        <v>474</v>
      </c>
      <c r="F21" s="1">
        <f>IF(OR(RSA!$C$12&lt;&gt;"Ready",LEN(RSA!C42)=0),"",IF(D21=1,C21,1))</f>
        <v>1</v>
      </c>
      <c r="G21" s="1">
        <f>IF(OR(RSA!$C$12&lt;&gt;"Ready",LEN(RSA!C42)=0),"",MOD(E21*F21,RSA!$C$16))</f>
        <v>474</v>
      </c>
      <c r="H21" s="1"/>
      <c r="I21" s="1">
        <v>12</v>
      </c>
      <c r="J21" s="1">
        <f>IF(OR(RSA!$C$12&lt;&gt;"Ready",LEN(RSA!C42)=0),"",INT(J20/2))</f>
        <v>0</v>
      </c>
      <c r="K21" s="1">
        <f>IF(OR(RSA!$C$12&lt;&gt;"Ready",LEN(RSA!C42)=0),"",MOD(K20*K20,RSA!$C$16))</f>
        <v>133</v>
      </c>
      <c r="L21" s="1">
        <f>IF(OR(RSA!$C$12&lt;&gt;"Ready",LEN(RSA!C42)=0),"",MOD(J21,2))</f>
        <v>0</v>
      </c>
      <c r="M21" s="1">
        <f>IF(OR(RSA!$C$12&lt;&gt;"Ready",LEN(RSA!C42)=0),"",O20)</f>
        <v>72</v>
      </c>
      <c r="N21" s="1">
        <f>IF(OR(RSA!$C$12&lt;&gt;"Ready",LEN(RSA!C42)=0),"",IF(L21=1,K21,1))</f>
        <v>1</v>
      </c>
      <c r="O21" s="1">
        <f>IF(OR(RSA!$C$12&lt;&gt;"Ready",LEN(RSA!C42)=0),"",MOD(M21*N21,RSA!$C$16))</f>
        <v>72</v>
      </c>
    </row>
    <row r="22" spans="1:15" ht="21.95" customHeight="1">
      <c r="A22" s="1">
        <v>13</v>
      </c>
      <c r="B22" s="1">
        <f>IF(OR(RSA!$C$12&lt;&gt;"Ready",LEN(RSA!C42)=0),"",INT(B21/2))</f>
        <v>0</v>
      </c>
      <c r="C22" s="1">
        <f>IF(OR(RSA!$C$12&lt;&gt;"Ready",LEN(RSA!C42)=0),"",MOD(C21*C21,RSA!$C$16))</f>
        <v>256</v>
      </c>
      <c r="D22" s="1">
        <f>IF(OR(RSA!$C$12&lt;&gt;"Ready",LEN(RSA!C42)=0),"",MOD(B22,2))</f>
        <v>0</v>
      </c>
      <c r="E22" s="1">
        <f>IF(OR(RSA!$C$12&lt;&gt;"Ready",LEN(RSA!C42)=0),"",G21)</f>
        <v>474</v>
      </c>
      <c r="F22" s="1">
        <f>IF(OR(RSA!$C$12&lt;&gt;"Ready",LEN(RSA!C42)=0),"",IF(D22=1,C22,1))</f>
        <v>1</v>
      </c>
      <c r="G22" s="1">
        <f>IF(OR(RSA!$C$12&lt;&gt;"Ready",LEN(RSA!C42)=0),"",MOD(E22*F22,RSA!$C$16))</f>
        <v>474</v>
      </c>
      <c r="H22" s="1"/>
      <c r="I22" s="1">
        <v>13</v>
      </c>
      <c r="J22" s="1">
        <f>IF(OR(RSA!$C$12&lt;&gt;"Ready",LEN(RSA!C42)=0),"",INT(J21/2))</f>
        <v>0</v>
      </c>
      <c r="K22" s="1">
        <f>IF(OR(RSA!$C$12&lt;&gt;"Ready",LEN(RSA!C42)=0),"",MOD(K21*K21,RSA!$C$16))</f>
        <v>100</v>
      </c>
      <c r="L22" s="1">
        <f>IF(OR(RSA!$C$12&lt;&gt;"Ready",LEN(RSA!C42)=0),"",MOD(J22,2))</f>
        <v>0</v>
      </c>
      <c r="M22" s="1">
        <f>IF(OR(RSA!$C$12&lt;&gt;"Ready",LEN(RSA!C42)=0),"",O21)</f>
        <v>72</v>
      </c>
      <c r="N22" s="1">
        <f>IF(OR(RSA!$C$12&lt;&gt;"Ready",LEN(RSA!C42)=0),"",IF(L22=1,K22,1))</f>
        <v>1</v>
      </c>
      <c r="O22" s="1">
        <f>IF(OR(RSA!$C$12&lt;&gt;"Ready",LEN(RSA!C42)=0),"",MOD(M22*N22,RSA!$C$16))</f>
        <v>72</v>
      </c>
    </row>
    <row r="23" spans="1:15" ht="21.95" customHeight="1">
      <c r="A23" s="1">
        <v>14</v>
      </c>
      <c r="B23" s="1">
        <f>IF(OR(RSA!$C$12&lt;&gt;"Ready",LEN(RSA!C42)=0),"",INT(B22/2))</f>
        <v>0</v>
      </c>
      <c r="C23" s="1">
        <f>IF(OR(RSA!$C$12&lt;&gt;"Ready",LEN(RSA!C42)=0),"",MOD(C22*C22,RSA!$C$16))</f>
        <v>510</v>
      </c>
      <c r="D23" s="1">
        <f>IF(OR(RSA!$C$12&lt;&gt;"Ready",LEN(RSA!C42)=0),"",MOD(B23,2))</f>
        <v>0</v>
      </c>
      <c r="E23" s="1">
        <f>IF(OR(RSA!$C$12&lt;&gt;"Ready",LEN(RSA!C42)=0),"",G22)</f>
        <v>474</v>
      </c>
      <c r="F23" s="1">
        <f>IF(OR(RSA!$C$12&lt;&gt;"Ready",LEN(RSA!C42)=0),"",IF(D23=1,C23,1))</f>
        <v>1</v>
      </c>
      <c r="G23" s="12">
        <f>IF(OR(RSA!$C$12&lt;&gt;"Ready",LEN(RSA!C42)=0),"",MOD(E23*F23,RSA!$C$16))</f>
        <v>474</v>
      </c>
      <c r="H23" s="1"/>
      <c r="I23" s="1">
        <v>14</v>
      </c>
      <c r="J23" s="1">
        <f>IF(OR(RSA!$C$12&lt;&gt;"Ready",LEN(RSA!C42)=0),"",INT(J22/2))</f>
        <v>0</v>
      </c>
      <c r="K23" s="1">
        <f>IF(OR(RSA!$C$12&lt;&gt;"Ready",LEN(RSA!C42)=0),"",MOD(K22*K22,RSA!$C$16))</f>
        <v>406</v>
      </c>
      <c r="L23" s="1">
        <f>IF(OR(RSA!$C$12&lt;&gt;"Ready",LEN(RSA!C42)=0),"",MOD(J23,2))</f>
        <v>0</v>
      </c>
      <c r="M23" s="1">
        <f>IF(OR(RSA!$C$12&lt;&gt;"Ready",LEN(RSA!C42)=0),"",O22)</f>
        <v>72</v>
      </c>
      <c r="N23" s="1">
        <f>IF(OR(RSA!$C$12&lt;&gt;"Ready",LEN(RSA!C42)=0),"",IF(L23=1,K23,1))</f>
        <v>1</v>
      </c>
      <c r="O23" s="12">
        <f>IF(OR(RSA!$C$12&lt;&gt;"Ready",LEN(RSA!C42)=0),"",MOD(M23*N23,RSA!$C$16))</f>
        <v>72</v>
      </c>
    </row>
    <row r="24" spans="1:15" ht="21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1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1.95" customHeight="1">
      <c r="A26" s="1" t="s">
        <v>84</v>
      </c>
      <c r="B26" s="1"/>
      <c r="C26" s="1"/>
      <c r="D26" s="1"/>
      <c r="E26" s="1"/>
      <c r="F26" s="1"/>
      <c r="G26" s="1"/>
      <c r="H26" s="1"/>
      <c r="I26" s="1" t="s">
        <v>85</v>
      </c>
      <c r="J26" s="1"/>
      <c r="K26" s="1"/>
      <c r="L26" s="1"/>
      <c r="M26" s="1"/>
      <c r="N26" s="1"/>
      <c r="O26" s="1"/>
    </row>
    <row r="27" spans="1:15" ht="32.1" customHeight="1">
      <c r="A27" s="4" t="s">
        <v>77</v>
      </c>
      <c r="B27" s="4" t="s">
        <v>78</v>
      </c>
      <c r="C27" s="4" t="s">
        <v>79</v>
      </c>
      <c r="D27" s="4" t="s">
        <v>80</v>
      </c>
      <c r="E27" s="4" t="s">
        <v>81</v>
      </c>
      <c r="F27" s="4" t="s">
        <v>82</v>
      </c>
      <c r="G27" s="4" t="s">
        <v>83</v>
      </c>
      <c r="H27" s="1"/>
      <c r="I27" s="4" t="s">
        <v>77</v>
      </c>
      <c r="J27" s="4" t="s">
        <v>78</v>
      </c>
      <c r="K27" s="4" t="s">
        <v>79</v>
      </c>
      <c r="L27" s="4" t="s">
        <v>80</v>
      </c>
      <c r="M27" s="4" t="s">
        <v>81</v>
      </c>
      <c r="N27" s="4" t="s">
        <v>82</v>
      </c>
      <c r="O27" s="4" t="s">
        <v>83</v>
      </c>
    </row>
    <row r="28" spans="1:15" ht="21.95" customHeight="1">
      <c r="A28" s="1">
        <v>1</v>
      </c>
      <c r="B28" s="1">
        <f>IF(OR(RSA!$C$12&lt;&gt;"Ready",LEN(RSA!C43)=0),"",RSA!$C$18)</f>
        <v>7</v>
      </c>
      <c r="C28" s="1">
        <f>IF(OR(RSA!$C$12&lt;&gt;"Ready",LEN(RSA!C43)=0),"",RSA!D43)</f>
        <v>101</v>
      </c>
      <c r="D28" s="1">
        <f>IF(OR(RSA!$C$12&lt;&gt;"Ready",LEN(RSA!C43)=0),"",MOD(B28,2))</f>
        <v>1</v>
      </c>
      <c r="E28" s="1">
        <f>IF(OR(RSA!$C$12&lt;&gt;"Ready",LEN(RSA!C43)=0),"",1)</f>
        <v>1</v>
      </c>
      <c r="F28" s="1">
        <f>IF(OR(RSA!$C$12&lt;&gt;"Ready",LEN(RSA!C43)=0),"",IF(D28=1,C28,1))</f>
        <v>101</v>
      </c>
      <c r="G28" s="1">
        <f>IF(OR(RSA!$C$12&lt;&gt;"Ready",LEN(RSA!C43)=0),"",MOD(E28*F28,RSA!$C$16))</f>
        <v>101</v>
      </c>
      <c r="H28" s="1"/>
      <c r="I28" s="1">
        <v>1</v>
      </c>
      <c r="J28" s="1">
        <f>IF(OR(RSA!$C$12&lt;&gt;"Ready",LEN(RSA!C43)=0),"",RSA!$C$19)</f>
        <v>343</v>
      </c>
      <c r="K28" s="1">
        <f>IF(OR(RSA!$C$12&lt;&gt;"Ready",LEN(RSA!C43)=0),"",RSA!F43)</f>
        <v>153</v>
      </c>
      <c r="L28" s="1">
        <f>IF(OR(RSA!$C$12&lt;&gt;"Ready",LEN(RSA!C43)=0),"",MOD(J28,2))</f>
        <v>1</v>
      </c>
      <c r="M28" s="1">
        <f>IF(OR(RSA!$C$12&lt;&gt;"Ready",LEN(RSA!C43)=0),"",1)</f>
        <v>1</v>
      </c>
      <c r="N28" s="1">
        <f>IF(OR(RSA!$C$12&lt;&gt;"Ready",LEN(RSA!C43)=0),"",IF(L28=1,K28,1))</f>
        <v>153</v>
      </c>
      <c r="O28" s="1">
        <f>IF(OR(RSA!$C$12&lt;&gt;"Ready",LEN(RSA!C43)=0),"",MOD(M28*N28,RSA!$C$16))</f>
        <v>153</v>
      </c>
    </row>
    <row r="29" spans="1:15" ht="21.95" customHeight="1">
      <c r="A29" s="1">
        <v>2</v>
      </c>
      <c r="B29" s="1">
        <f>IF(OR(RSA!$C$12&lt;&gt;"Ready",LEN(RSA!C43)=0),"",INT(B28/2))</f>
        <v>3</v>
      </c>
      <c r="C29" s="1">
        <f>IF(OR(RSA!$C$12&lt;&gt;"Ready",LEN(RSA!C43)=0),"",MOD(C28*C28,RSA!$C$16))</f>
        <v>74</v>
      </c>
      <c r="D29" s="1">
        <f>IF(OR(RSA!$C$12&lt;&gt;"Ready",LEN(RSA!C43)=0),"",MOD(B29,2))</f>
        <v>1</v>
      </c>
      <c r="E29" s="1">
        <f>IF(OR(RSA!$C$12&lt;&gt;"Ready",LEN(RSA!C43)=0),"",G28)</f>
        <v>101</v>
      </c>
      <c r="F29" s="1">
        <f>IF(OR(RSA!$C$12&lt;&gt;"Ready",LEN(RSA!C43)=0),"",IF(D29=1,C29,1))</f>
        <v>74</v>
      </c>
      <c r="G29" s="1">
        <f>IF(OR(RSA!$C$12&lt;&gt;"Ready",LEN(RSA!C43)=0),"",MOD(E29*F29,RSA!$C$16))</f>
        <v>12</v>
      </c>
      <c r="H29" s="1"/>
      <c r="I29" s="1">
        <v>2</v>
      </c>
      <c r="J29" s="1">
        <f>IF(OR(RSA!$C$12&lt;&gt;"Ready",LEN(RSA!C43)=0),"",INT(J28/2))</f>
        <v>171</v>
      </c>
      <c r="K29" s="1">
        <f>IF(OR(RSA!$C$12&lt;&gt;"Ready",LEN(RSA!C43)=0),"",MOD(K28*K28,RSA!$C$16))</f>
        <v>490</v>
      </c>
      <c r="L29" s="1">
        <f>IF(OR(RSA!$C$12&lt;&gt;"Ready",LEN(RSA!C43)=0),"",MOD(J29,2))</f>
        <v>1</v>
      </c>
      <c r="M29" s="1">
        <f>IF(OR(RSA!$C$12&lt;&gt;"Ready",LEN(RSA!C43)=0),"",O28)</f>
        <v>153</v>
      </c>
      <c r="N29" s="1">
        <f>IF(OR(RSA!$C$12&lt;&gt;"Ready",LEN(RSA!C43)=0),"",IF(L29=1,K29,1))</f>
        <v>490</v>
      </c>
      <c r="O29" s="1">
        <f>IF(OR(RSA!$C$12&lt;&gt;"Ready",LEN(RSA!C43)=0),"",MOD(M29*N29,RSA!$C$16))</f>
        <v>350</v>
      </c>
    </row>
    <row r="30" spans="1:15" ht="21.95" customHeight="1">
      <c r="A30" s="1">
        <v>3</v>
      </c>
      <c r="B30" s="1">
        <f>IF(OR(RSA!$C$12&lt;&gt;"Ready",LEN(RSA!C43)=0),"",INT(B29/2))</f>
        <v>1</v>
      </c>
      <c r="C30" s="1">
        <f>IF(OR(RSA!$C$12&lt;&gt;"Ready",LEN(RSA!C43)=0),"",MOD(C29*C29,RSA!$C$16))</f>
        <v>146</v>
      </c>
      <c r="D30" s="1">
        <f>IF(OR(RSA!$C$12&lt;&gt;"Ready",LEN(RSA!C43)=0),"",MOD(B30,2))</f>
        <v>1</v>
      </c>
      <c r="E30" s="1">
        <f>IF(OR(RSA!$C$12&lt;&gt;"Ready",LEN(RSA!C43)=0),"",G29)</f>
        <v>12</v>
      </c>
      <c r="F30" s="1">
        <f>IF(OR(RSA!$C$12&lt;&gt;"Ready",LEN(RSA!C43)=0),"",IF(D30=1,C30,1))</f>
        <v>146</v>
      </c>
      <c r="G30" s="1">
        <f>IF(OR(RSA!$C$12&lt;&gt;"Ready",LEN(RSA!C43)=0),"",MOD(E30*F30,RSA!$C$16))</f>
        <v>153</v>
      </c>
      <c r="H30" s="1"/>
      <c r="I30" s="1">
        <v>3</v>
      </c>
      <c r="J30" s="1">
        <f>IF(OR(RSA!$C$12&lt;&gt;"Ready",LEN(RSA!C43)=0),"",INT(J29/2))</f>
        <v>85</v>
      </c>
      <c r="K30" s="1">
        <f>IF(OR(RSA!$C$12&lt;&gt;"Ready",LEN(RSA!C43)=0),"",MOD(K29*K29,RSA!$C$16))</f>
        <v>250</v>
      </c>
      <c r="L30" s="1">
        <f>IF(OR(RSA!$C$12&lt;&gt;"Ready",LEN(RSA!C43)=0),"",MOD(J30,2))</f>
        <v>1</v>
      </c>
      <c r="M30" s="1">
        <f>IF(OR(RSA!$C$12&lt;&gt;"Ready",LEN(RSA!C43)=0),"",O29)</f>
        <v>350</v>
      </c>
      <c r="N30" s="1">
        <f>IF(OR(RSA!$C$12&lt;&gt;"Ready",LEN(RSA!C43)=0),"",IF(L30=1,K30,1))</f>
        <v>250</v>
      </c>
      <c r="O30" s="1">
        <f>IF(OR(RSA!$C$12&lt;&gt;"Ready",LEN(RSA!C43)=0),"",MOD(M30*N30,RSA!$C$16))</f>
        <v>88</v>
      </c>
    </row>
    <row r="31" spans="1:15" ht="21.95" customHeight="1">
      <c r="A31" s="1">
        <v>4</v>
      </c>
      <c r="B31" s="1">
        <f>IF(OR(RSA!$C$12&lt;&gt;"Ready",LEN(RSA!C43)=0),"",INT(B30/2))</f>
        <v>0</v>
      </c>
      <c r="C31" s="1">
        <f>IF(OR(RSA!$C$12&lt;&gt;"Ready",LEN(RSA!C43)=0),"",MOD(C30*C30,RSA!$C$16))</f>
        <v>529</v>
      </c>
      <c r="D31" s="1">
        <f>IF(OR(RSA!$C$12&lt;&gt;"Ready",LEN(RSA!C43)=0),"",MOD(B31,2))</f>
        <v>0</v>
      </c>
      <c r="E31" s="1">
        <f>IF(OR(RSA!$C$12&lt;&gt;"Ready",LEN(RSA!C43)=0),"",G30)</f>
        <v>153</v>
      </c>
      <c r="F31" s="1">
        <f>IF(OR(RSA!$C$12&lt;&gt;"Ready",LEN(RSA!C43)=0),"",IF(D31=1,C31,1))</f>
        <v>1</v>
      </c>
      <c r="G31" s="1">
        <f>IF(OR(RSA!$C$12&lt;&gt;"Ready",LEN(RSA!C43)=0),"",MOD(E31*F31,RSA!$C$16))</f>
        <v>153</v>
      </c>
      <c r="H31" s="1"/>
      <c r="I31" s="1">
        <v>4</v>
      </c>
      <c r="J31" s="1">
        <f>IF(OR(RSA!$C$12&lt;&gt;"Ready",LEN(RSA!C43)=0),"",INT(J30/2))</f>
        <v>42</v>
      </c>
      <c r="K31" s="1">
        <f>IF(OR(RSA!$C$12&lt;&gt;"Ready",LEN(RSA!C43)=0),"",MOD(K30*K30,RSA!$C$16))</f>
        <v>139</v>
      </c>
      <c r="L31" s="1">
        <f>IF(OR(RSA!$C$12&lt;&gt;"Ready",LEN(RSA!C43)=0),"",MOD(J31,2))</f>
        <v>0</v>
      </c>
      <c r="M31" s="1">
        <f>IF(OR(RSA!$C$12&lt;&gt;"Ready",LEN(RSA!C43)=0),"",O30)</f>
        <v>88</v>
      </c>
      <c r="N31" s="1">
        <f>IF(OR(RSA!$C$12&lt;&gt;"Ready",LEN(RSA!C43)=0),"",IF(L31=1,K31,1))</f>
        <v>1</v>
      </c>
      <c r="O31" s="1">
        <f>IF(OR(RSA!$C$12&lt;&gt;"Ready",LEN(RSA!C43)=0),"",MOD(M31*N31,RSA!$C$16))</f>
        <v>88</v>
      </c>
    </row>
    <row r="32" spans="1:15" ht="21.95" customHeight="1">
      <c r="A32" s="1">
        <v>5</v>
      </c>
      <c r="B32" s="1">
        <f>IF(OR(RSA!$C$12&lt;&gt;"Ready",LEN(RSA!C43)=0),"",INT(B31/2))</f>
        <v>0</v>
      </c>
      <c r="C32" s="1">
        <f>IF(OR(RSA!$C$12&lt;&gt;"Ready",LEN(RSA!C43)=0),"",MOD(C31*C31,RSA!$C$16))</f>
        <v>16</v>
      </c>
      <c r="D32" s="1">
        <f>IF(OR(RSA!$C$12&lt;&gt;"Ready",LEN(RSA!C43)=0),"",MOD(B32,2))</f>
        <v>0</v>
      </c>
      <c r="E32" s="1">
        <f>IF(OR(RSA!$C$12&lt;&gt;"Ready",LEN(RSA!C43)=0),"",G31)</f>
        <v>153</v>
      </c>
      <c r="F32" s="1">
        <f>IF(OR(RSA!$C$12&lt;&gt;"Ready",LEN(RSA!C43)=0),"",IF(D32=1,C32,1))</f>
        <v>1</v>
      </c>
      <c r="G32" s="1">
        <f>IF(OR(RSA!$C$12&lt;&gt;"Ready",LEN(RSA!C43)=0),"",MOD(E32*F32,RSA!$C$16))</f>
        <v>153</v>
      </c>
      <c r="H32" s="1"/>
      <c r="I32" s="1">
        <v>5</v>
      </c>
      <c r="J32" s="1">
        <f>IF(OR(RSA!$C$12&lt;&gt;"Ready",LEN(RSA!C43)=0),"",INT(J31/2))</f>
        <v>21</v>
      </c>
      <c r="K32" s="1">
        <f>IF(OR(RSA!$C$12&lt;&gt;"Ready",LEN(RSA!C43)=0),"",MOD(K31*K31,RSA!$C$16))</f>
        <v>133</v>
      </c>
      <c r="L32" s="1">
        <f>IF(OR(RSA!$C$12&lt;&gt;"Ready",LEN(RSA!C43)=0),"",MOD(J32,2))</f>
        <v>1</v>
      </c>
      <c r="M32" s="1">
        <f>IF(OR(RSA!$C$12&lt;&gt;"Ready",LEN(RSA!C43)=0),"",O31)</f>
        <v>88</v>
      </c>
      <c r="N32" s="1">
        <f>IF(OR(RSA!$C$12&lt;&gt;"Ready",LEN(RSA!C43)=0),"",IF(L32=1,K32,1))</f>
        <v>133</v>
      </c>
      <c r="O32" s="1">
        <f>IF(OR(RSA!$C$12&lt;&gt;"Ready",LEN(RSA!C43)=0),"",MOD(M32*N32,RSA!$C$16))</f>
        <v>511</v>
      </c>
    </row>
    <row r="33" spans="1:15" ht="21.95" customHeight="1">
      <c r="A33" s="1">
        <v>6</v>
      </c>
      <c r="B33" s="1">
        <f>IF(OR(RSA!$C$12&lt;&gt;"Ready",LEN(RSA!C43)=0),"",INT(B32/2))</f>
        <v>0</v>
      </c>
      <c r="C33" s="1">
        <f>IF(OR(RSA!$C$12&lt;&gt;"Ready",LEN(RSA!C43)=0),"",MOD(C32*C32,RSA!$C$16))</f>
        <v>256</v>
      </c>
      <c r="D33" s="1">
        <f>IF(OR(RSA!$C$12&lt;&gt;"Ready",LEN(RSA!C43)=0),"",MOD(B33,2))</f>
        <v>0</v>
      </c>
      <c r="E33" s="1">
        <f>IF(OR(RSA!$C$12&lt;&gt;"Ready",LEN(RSA!C43)=0),"",G32)</f>
        <v>153</v>
      </c>
      <c r="F33" s="1">
        <f>IF(OR(RSA!$C$12&lt;&gt;"Ready",LEN(RSA!C43)=0),"",IF(D33=1,C33,1))</f>
        <v>1</v>
      </c>
      <c r="G33" s="1">
        <f>IF(OR(RSA!$C$12&lt;&gt;"Ready",LEN(RSA!C43)=0),"",MOD(E33*F33,RSA!$C$16))</f>
        <v>153</v>
      </c>
      <c r="H33" s="1"/>
      <c r="I33" s="1">
        <v>6</v>
      </c>
      <c r="J33" s="1">
        <f>IF(OR(RSA!$C$12&lt;&gt;"Ready",LEN(RSA!C43)=0),"",INT(J32/2))</f>
        <v>10</v>
      </c>
      <c r="K33" s="1">
        <f>IF(OR(RSA!$C$12&lt;&gt;"Ready",LEN(RSA!C43)=0),"",MOD(K32*K32,RSA!$C$16))</f>
        <v>100</v>
      </c>
      <c r="L33" s="1">
        <f>IF(OR(RSA!$C$12&lt;&gt;"Ready",LEN(RSA!C43)=0),"",MOD(J33,2))</f>
        <v>0</v>
      </c>
      <c r="M33" s="1">
        <f>IF(OR(RSA!$C$12&lt;&gt;"Ready",LEN(RSA!C43)=0),"",O32)</f>
        <v>511</v>
      </c>
      <c r="N33" s="1">
        <f>IF(OR(RSA!$C$12&lt;&gt;"Ready",LEN(RSA!C43)=0),"",IF(L33=1,K33,1))</f>
        <v>1</v>
      </c>
      <c r="O33" s="1">
        <f>IF(OR(RSA!$C$12&lt;&gt;"Ready",LEN(RSA!C43)=0),"",MOD(M33*N33,RSA!$C$16))</f>
        <v>511</v>
      </c>
    </row>
    <row r="34" spans="1:15" ht="21.95" customHeight="1">
      <c r="A34" s="1">
        <v>7</v>
      </c>
      <c r="B34" s="1">
        <f>IF(OR(RSA!$C$12&lt;&gt;"Ready",LEN(RSA!C43)=0),"",INT(B33/2))</f>
        <v>0</v>
      </c>
      <c r="C34" s="1">
        <f>IF(OR(RSA!$C$12&lt;&gt;"Ready",LEN(RSA!C43)=0),"",MOD(C33*C33,RSA!$C$16))</f>
        <v>510</v>
      </c>
      <c r="D34" s="1">
        <f>IF(OR(RSA!$C$12&lt;&gt;"Ready",LEN(RSA!C43)=0),"",MOD(B34,2))</f>
        <v>0</v>
      </c>
      <c r="E34" s="1">
        <f>IF(OR(RSA!$C$12&lt;&gt;"Ready",LEN(RSA!C43)=0),"",G33)</f>
        <v>153</v>
      </c>
      <c r="F34" s="1">
        <f>IF(OR(RSA!$C$12&lt;&gt;"Ready",LEN(RSA!C43)=0),"",IF(D34=1,C34,1))</f>
        <v>1</v>
      </c>
      <c r="G34" s="1">
        <f>IF(OR(RSA!$C$12&lt;&gt;"Ready",LEN(RSA!C43)=0),"",MOD(E34*F34,RSA!$C$16))</f>
        <v>153</v>
      </c>
      <c r="H34" s="1"/>
      <c r="I34" s="1">
        <v>7</v>
      </c>
      <c r="J34" s="1">
        <f>IF(OR(RSA!$C$12&lt;&gt;"Ready",LEN(RSA!C43)=0),"",INT(J33/2))</f>
        <v>5</v>
      </c>
      <c r="K34" s="1">
        <f>IF(OR(RSA!$C$12&lt;&gt;"Ready",LEN(RSA!C43)=0),"",MOD(K33*K33,RSA!$C$16))</f>
        <v>406</v>
      </c>
      <c r="L34" s="1">
        <f>IF(OR(RSA!$C$12&lt;&gt;"Ready",LEN(RSA!C43)=0),"",MOD(J34,2))</f>
        <v>1</v>
      </c>
      <c r="M34" s="1">
        <f>IF(OR(RSA!$C$12&lt;&gt;"Ready",LEN(RSA!C43)=0),"",O33)</f>
        <v>511</v>
      </c>
      <c r="N34" s="1">
        <f>IF(OR(RSA!$C$12&lt;&gt;"Ready",LEN(RSA!C43)=0),"",IF(L34=1,K34,1))</f>
        <v>406</v>
      </c>
      <c r="O34" s="1">
        <f>IF(OR(RSA!$C$12&lt;&gt;"Ready",LEN(RSA!C43)=0),"",MOD(M34*N34,RSA!$C$16))</f>
        <v>129</v>
      </c>
    </row>
    <row r="35" spans="1:15" ht="21.95" customHeight="1">
      <c r="A35" s="1">
        <v>8</v>
      </c>
      <c r="B35" s="1">
        <f>IF(OR(RSA!$C$12&lt;&gt;"Ready",LEN(RSA!C43)=0),"",INT(B34/2))</f>
        <v>0</v>
      </c>
      <c r="C35" s="1">
        <f>IF(OR(RSA!$C$12&lt;&gt;"Ready",LEN(RSA!C43)=0),"",MOD(C34*C34,RSA!$C$16))</f>
        <v>529</v>
      </c>
      <c r="D35" s="1">
        <f>IF(OR(RSA!$C$12&lt;&gt;"Ready",LEN(RSA!C43)=0),"",MOD(B35,2))</f>
        <v>0</v>
      </c>
      <c r="E35" s="1">
        <f>IF(OR(RSA!$C$12&lt;&gt;"Ready",LEN(RSA!C43)=0),"",G34)</f>
        <v>153</v>
      </c>
      <c r="F35" s="1">
        <f>IF(OR(RSA!$C$12&lt;&gt;"Ready",LEN(RSA!C43)=0),"",IF(D35=1,C35,1))</f>
        <v>1</v>
      </c>
      <c r="G35" s="1">
        <f>IF(OR(RSA!$C$12&lt;&gt;"Ready",LEN(RSA!C43)=0),"",MOD(E35*F35,RSA!$C$16))</f>
        <v>153</v>
      </c>
      <c r="H35" s="1"/>
      <c r="I35" s="1">
        <v>8</v>
      </c>
      <c r="J35" s="1">
        <f>IF(OR(RSA!$C$12&lt;&gt;"Ready",LEN(RSA!C43)=0),"",INT(J34/2))</f>
        <v>2</v>
      </c>
      <c r="K35" s="1">
        <f>IF(OR(RSA!$C$12&lt;&gt;"Ready",LEN(RSA!C43)=0),"",MOD(K34*K34,RSA!$C$16))</f>
        <v>139</v>
      </c>
      <c r="L35" s="1">
        <f>IF(OR(RSA!$C$12&lt;&gt;"Ready",LEN(RSA!C43)=0),"",MOD(J35,2))</f>
        <v>0</v>
      </c>
      <c r="M35" s="1">
        <f>IF(OR(RSA!$C$12&lt;&gt;"Ready",LEN(RSA!C43)=0),"",O34)</f>
        <v>129</v>
      </c>
      <c r="N35" s="1">
        <f>IF(OR(RSA!$C$12&lt;&gt;"Ready",LEN(RSA!C43)=0),"",IF(L35=1,K35,1))</f>
        <v>1</v>
      </c>
      <c r="O35" s="1">
        <f>IF(OR(RSA!$C$12&lt;&gt;"Ready",LEN(RSA!C43)=0),"",MOD(M35*N35,RSA!$C$16))</f>
        <v>129</v>
      </c>
    </row>
    <row r="36" spans="1:15" ht="21.95" customHeight="1">
      <c r="A36" s="1">
        <v>9</v>
      </c>
      <c r="B36" s="1">
        <f>IF(OR(RSA!$C$12&lt;&gt;"Ready",LEN(RSA!C43)=0),"",INT(B35/2))</f>
        <v>0</v>
      </c>
      <c r="C36" s="1">
        <f>IF(OR(RSA!$C$12&lt;&gt;"Ready",LEN(RSA!C43)=0),"",MOD(C35*C35,RSA!$C$16))</f>
        <v>16</v>
      </c>
      <c r="D36" s="1">
        <f>IF(OR(RSA!$C$12&lt;&gt;"Ready",LEN(RSA!C43)=0),"",MOD(B36,2))</f>
        <v>0</v>
      </c>
      <c r="E36" s="1">
        <f>IF(OR(RSA!$C$12&lt;&gt;"Ready",LEN(RSA!C43)=0),"",G35)</f>
        <v>153</v>
      </c>
      <c r="F36" s="1">
        <f>IF(OR(RSA!$C$12&lt;&gt;"Ready",LEN(RSA!C43)=0),"",IF(D36=1,C36,1))</f>
        <v>1</v>
      </c>
      <c r="G36" s="1">
        <f>IF(OR(RSA!$C$12&lt;&gt;"Ready",LEN(RSA!C43)=0),"",MOD(E36*F36,RSA!$C$16))</f>
        <v>153</v>
      </c>
      <c r="H36" s="1"/>
      <c r="I36" s="1">
        <v>9</v>
      </c>
      <c r="J36" s="1">
        <f>IF(OR(RSA!$C$12&lt;&gt;"Ready",LEN(RSA!C43)=0),"",INT(J35/2))</f>
        <v>1</v>
      </c>
      <c r="K36" s="1">
        <f>IF(OR(RSA!$C$12&lt;&gt;"Ready",LEN(RSA!C43)=0),"",MOD(K35*K35,RSA!$C$16))</f>
        <v>133</v>
      </c>
      <c r="L36" s="1">
        <f>IF(OR(RSA!$C$12&lt;&gt;"Ready",LEN(RSA!C43)=0),"",MOD(J36,2))</f>
        <v>1</v>
      </c>
      <c r="M36" s="1">
        <f>IF(OR(RSA!$C$12&lt;&gt;"Ready",LEN(RSA!C43)=0),"",O35)</f>
        <v>129</v>
      </c>
      <c r="N36" s="1">
        <f>IF(OR(RSA!$C$12&lt;&gt;"Ready",LEN(RSA!C43)=0),"",IF(L36=1,K36,1))</f>
        <v>133</v>
      </c>
      <c r="O36" s="1">
        <f>IF(OR(RSA!$C$12&lt;&gt;"Ready",LEN(RSA!C43)=0),"",MOD(M36*N36,RSA!$C$16))</f>
        <v>101</v>
      </c>
    </row>
    <row r="37" spans="1:15" ht="21.95" customHeight="1">
      <c r="A37" s="1">
        <v>10</v>
      </c>
      <c r="B37" s="1">
        <f>IF(OR(RSA!$C$12&lt;&gt;"Ready",LEN(RSA!C43)=0),"",INT(B36/2))</f>
        <v>0</v>
      </c>
      <c r="C37" s="1">
        <f>IF(OR(RSA!$C$12&lt;&gt;"Ready",LEN(RSA!C43)=0),"",MOD(C36*C36,RSA!$C$16))</f>
        <v>256</v>
      </c>
      <c r="D37" s="1">
        <f>IF(OR(RSA!$C$12&lt;&gt;"Ready",LEN(RSA!C43)=0),"",MOD(B37,2))</f>
        <v>0</v>
      </c>
      <c r="E37" s="1">
        <f>IF(OR(RSA!$C$12&lt;&gt;"Ready",LEN(RSA!C43)=0),"",G36)</f>
        <v>153</v>
      </c>
      <c r="F37" s="1">
        <f>IF(OR(RSA!$C$12&lt;&gt;"Ready",LEN(RSA!C43)=0),"",IF(D37=1,C37,1))</f>
        <v>1</v>
      </c>
      <c r="G37" s="1">
        <f>IF(OR(RSA!$C$12&lt;&gt;"Ready",LEN(RSA!C43)=0),"",MOD(E37*F37,RSA!$C$16))</f>
        <v>153</v>
      </c>
      <c r="H37" s="1"/>
      <c r="I37" s="1">
        <v>10</v>
      </c>
      <c r="J37" s="1">
        <f>IF(OR(RSA!$C$12&lt;&gt;"Ready",LEN(RSA!C43)=0),"",INT(J36/2))</f>
        <v>0</v>
      </c>
      <c r="K37" s="1">
        <f>IF(OR(RSA!$C$12&lt;&gt;"Ready",LEN(RSA!C43)=0),"",MOD(K36*K36,RSA!$C$16))</f>
        <v>100</v>
      </c>
      <c r="L37" s="1">
        <f>IF(OR(RSA!$C$12&lt;&gt;"Ready",LEN(RSA!C43)=0),"",MOD(J37,2))</f>
        <v>0</v>
      </c>
      <c r="M37" s="1">
        <f>IF(OR(RSA!$C$12&lt;&gt;"Ready",LEN(RSA!C43)=0),"",O36)</f>
        <v>101</v>
      </c>
      <c r="N37" s="1">
        <f>IF(OR(RSA!$C$12&lt;&gt;"Ready",LEN(RSA!C43)=0),"",IF(L37=1,K37,1))</f>
        <v>1</v>
      </c>
      <c r="O37" s="1">
        <f>IF(OR(RSA!$C$12&lt;&gt;"Ready",LEN(RSA!C43)=0),"",MOD(M37*N37,RSA!$C$16))</f>
        <v>101</v>
      </c>
    </row>
    <row r="38" spans="1:15" ht="21.95" customHeight="1">
      <c r="A38" s="1">
        <v>11</v>
      </c>
      <c r="B38" s="1">
        <f>IF(OR(RSA!$C$12&lt;&gt;"Ready",LEN(RSA!C43)=0),"",INT(B37/2))</f>
        <v>0</v>
      </c>
      <c r="C38" s="1">
        <f>IF(OR(RSA!$C$12&lt;&gt;"Ready",LEN(RSA!C43)=0),"",MOD(C37*C37,RSA!$C$16))</f>
        <v>510</v>
      </c>
      <c r="D38" s="1">
        <f>IF(OR(RSA!$C$12&lt;&gt;"Ready",LEN(RSA!C43)=0),"",MOD(B38,2))</f>
        <v>0</v>
      </c>
      <c r="E38" s="1">
        <f>IF(OR(RSA!$C$12&lt;&gt;"Ready",LEN(RSA!C43)=0),"",G37)</f>
        <v>153</v>
      </c>
      <c r="F38" s="1">
        <f>IF(OR(RSA!$C$12&lt;&gt;"Ready",LEN(RSA!C43)=0),"",IF(D38=1,C38,1))</f>
        <v>1</v>
      </c>
      <c r="G38" s="1">
        <f>IF(OR(RSA!$C$12&lt;&gt;"Ready",LEN(RSA!C43)=0),"",MOD(E38*F38,RSA!$C$16))</f>
        <v>153</v>
      </c>
      <c r="H38" s="1"/>
      <c r="I38" s="1">
        <v>11</v>
      </c>
      <c r="J38" s="1">
        <f>IF(OR(RSA!$C$12&lt;&gt;"Ready",LEN(RSA!C43)=0),"",INT(J37/2))</f>
        <v>0</v>
      </c>
      <c r="K38" s="1">
        <f>IF(OR(RSA!$C$12&lt;&gt;"Ready",LEN(RSA!C43)=0),"",MOD(K37*K37,RSA!$C$16))</f>
        <v>406</v>
      </c>
      <c r="L38" s="1">
        <f>IF(OR(RSA!$C$12&lt;&gt;"Ready",LEN(RSA!C43)=0),"",MOD(J38,2))</f>
        <v>0</v>
      </c>
      <c r="M38" s="1">
        <f>IF(OR(RSA!$C$12&lt;&gt;"Ready",LEN(RSA!C43)=0),"",O37)</f>
        <v>101</v>
      </c>
      <c r="N38" s="1">
        <f>IF(OR(RSA!$C$12&lt;&gt;"Ready",LEN(RSA!C43)=0),"",IF(L38=1,K38,1))</f>
        <v>1</v>
      </c>
      <c r="O38" s="1">
        <f>IF(OR(RSA!$C$12&lt;&gt;"Ready",LEN(RSA!C43)=0),"",MOD(M38*N38,RSA!$C$16))</f>
        <v>101</v>
      </c>
    </row>
    <row r="39" spans="1:15" ht="21.95" customHeight="1">
      <c r="A39" s="1">
        <v>12</v>
      </c>
      <c r="B39" s="1">
        <f>IF(OR(RSA!$C$12&lt;&gt;"Ready",LEN(RSA!C43)=0),"",INT(B38/2))</f>
        <v>0</v>
      </c>
      <c r="C39" s="1">
        <f>IF(OR(RSA!$C$12&lt;&gt;"Ready",LEN(RSA!C43)=0),"",MOD(C38*C38,RSA!$C$16))</f>
        <v>529</v>
      </c>
      <c r="D39" s="1">
        <f>IF(OR(RSA!$C$12&lt;&gt;"Ready",LEN(RSA!C43)=0),"",MOD(B39,2))</f>
        <v>0</v>
      </c>
      <c r="E39" s="1">
        <f>IF(OR(RSA!$C$12&lt;&gt;"Ready",LEN(RSA!C43)=0),"",G38)</f>
        <v>153</v>
      </c>
      <c r="F39" s="1">
        <f>IF(OR(RSA!$C$12&lt;&gt;"Ready",LEN(RSA!C43)=0),"",IF(D39=1,C39,1))</f>
        <v>1</v>
      </c>
      <c r="G39" s="1">
        <f>IF(OR(RSA!$C$12&lt;&gt;"Ready",LEN(RSA!C43)=0),"",MOD(E39*F39,RSA!$C$16))</f>
        <v>153</v>
      </c>
      <c r="H39" s="1"/>
      <c r="I39" s="1">
        <v>12</v>
      </c>
      <c r="J39" s="1">
        <f>IF(OR(RSA!$C$12&lt;&gt;"Ready",LEN(RSA!C43)=0),"",INT(J38/2))</f>
        <v>0</v>
      </c>
      <c r="K39" s="1">
        <f>IF(OR(RSA!$C$12&lt;&gt;"Ready",LEN(RSA!C43)=0),"",MOD(K38*K38,RSA!$C$16))</f>
        <v>139</v>
      </c>
      <c r="L39" s="1">
        <f>IF(OR(RSA!$C$12&lt;&gt;"Ready",LEN(RSA!C43)=0),"",MOD(J39,2))</f>
        <v>0</v>
      </c>
      <c r="M39" s="1">
        <f>IF(OR(RSA!$C$12&lt;&gt;"Ready",LEN(RSA!C43)=0),"",O38)</f>
        <v>101</v>
      </c>
      <c r="N39" s="1">
        <f>IF(OR(RSA!$C$12&lt;&gt;"Ready",LEN(RSA!C43)=0),"",IF(L39=1,K39,1))</f>
        <v>1</v>
      </c>
      <c r="O39" s="1">
        <f>IF(OR(RSA!$C$12&lt;&gt;"Ready",LEN(RSA!C43)=0),"",MOD(M39*N39,RSA!$C$16))</f>
        <v>101</v>
      </c>
    </row>
    <row r="40" spans="1:15" ht="21.95" customHeight="1">
      <c r="A40" s="1">
        <v>13</v>
      </c>
      <c r="B40" s="1">
        <f>IF(OR(RSA!$C$12&lt;&gt;"Ready",LEN(RSA!C43)=0),"",INT(B39/2))</f>
        <v>0</v>
      </c>
      <c r="C40" s="1">
        <f>IF(OR(RSA!$C$12&lt;&gt;"Ready",LEN(RSA!C43)=0),"",MOD(C39*C39,RSA!$C$16))</f>
        <v>16</v>
      </c>
      <c r="D40" s="1">
        <f>IF(OR(RSA!$C$12&lt;&gt;"Ready",LEN(RSA!C43)=0),"",MOD(B40,2))</f>
        <v>0</v>
      </c>
      <c r="E40" s="1">
        <f>IF(OR(RSA!$C$12&lt;&gt;"Ready",LEN(RSA!C43)=0),"",G39)</f>
        <v>153</v>
      </c>
      <c r="F40" s="1">
        <f>IF(OR(RSA!$C$12&lt;&gt;"Ready",LEN(RSA!C43)=0),"",IF(D40=1,C40,1))</f>
        <v>1</v>
      </c>
      <c r="G40" s="1">
        <f>IF(OR(RSA!$C$12&lt;&gt;"Ready",LEN(RSA!C43)=0),"",MOD(E40*F40,RSA!$C$16))</f>
        <v>153</v>
      </c>
      <c r="H40" s="1"/>
      <c r="I40" s="1">
        <v>13</v>
      </c>
      <c r="J40" s="1">
        <f>IF(OR(RSA!$C$12&lt;&gt;"Ready",LEN(RSA!C43)=0),"",INT(J39/2))</f>
        <v>0</v>
      </c>
      <c r="K40" s="1">
        <f>IF(OR(RSA!$C$12&lt;&gt;"Ready",LEN(RSA!C43)=0),"",MOD(K39*K39,RSA!$C$16))</f>
        <v>133</v>
      </c>
      <c r="L40" s="1">
        <f>IF(OR(RSA!$C$12&lt;&gt;"Ready",LEN(RSA!C43)=0),"",MOD(J40,2))</f>
        <v>0</v>
      </c>
      <c r="M40" s="1">
        <f>IF(OR(RSA!$C$12&lt;&gt;"Ready",LEN(RSA!C43)=0),"",O39)</f>
        <v>101</v>
      </c>
      <c r="N40" s="1">
        <f>IF(OR(RSA!$C$12&lt;&gt;"Ready",LEN(RSA!C43)=0),"",IF(L40=1,K40,1))</f>
        <v>1</v>
      </c>
      <c r="O40" s="1">
        <f>IF(OR(RSA!$C$12&lt;&gt;"Ready",LEN(RSA!C43)=0),"",MOD(M40*N40,RSA!$C$16))</f>
        <v>101</v>
      </c>
    </row>
    <row r="41" spans="1:15" ht="21.95" customHeight="1">
      <c r="A41" s="1">
        <v>14</v>
      </c>
      <c r="B41" s="1">
        <f>IF(OR(RSA!$C$12&lt;&gt;"Ready",LEN(RSA!C43)=0),"",INT(B40/2))</f>
        <v>0</v>
      </c>
      <c r="C41" s="1">
        <f>IF(OR(RSA!$C$12&lt;&gt;"Ready",LEN(RSA!C43)=0),"",MOD(C40*C40,RSA!$C$16))</f>
        <v>256</v>
      </c>
      <c r="D41" s="1">
        <f>IF(OR(RSA!$C$12&lt;&gt;"Ready",LEN(RSA!C43)=0),"",MOD(B41,2))</f>
        <v>0</v>
      </c>
      <c r="E41" s="1">
        <f>IF(OR(RSA!$C$12&lt;&gt;"Ready",LEN(RSA!C43)=0),"",G40)</f>
        <v>153</v>
      </c>
      <c r="F41" s="1">
        <f>IF(OR(RSA!$C$12&lt;&gt;"Ready",LEN(RSA!C43)=0),"",IF(D41=1,C41,1))</f>
        <v>1</v>
      </c>
      <c r="G41" s="12">
        <f>IF(OR(RSA!$C$12&lt;&gt;"Ready",LEN(RSA!C43)=0),"",MOD(E41*F41,RSA!$C$16))</f>
        <v>153</v>
      </c>
      <c r="H41" s="1"/>
      <c r="I41" s="1">
        <v>14</v>
      </c>
      <c r="J41" s="1">
        <f>IF(OR(RSA!$C$12&lt;&gt;"Ready",LEN(RSA!C43)=0),"",INT(J40/2))</f>
        <v>0</v>
      </c>
      <c r="K41" s="1">
        <f>IF(OR(RSA!$C$12&lt;&gt;"Ready",LEN(RSA!C43)=0),"",MOD(K40*K40,RSA!$C$16))</f>
        <v>100</v>
      </c>
      <c r="L41" s="1">
        <f>IF(OR(RSA!$C$12&lt;&gt;"Ready",LEN(RSA!C43)=0),"",MOD(J41,2))</f>
        <v>0</v>
      </c>
      <c r="M41" s="1">
        <f>IF(OR(RSA!$C$12&lt;&gt;"Ready",LEN(RSA!C43)=0),"",O40)</f>
        <v>101</v>
      </c>
      <c r="N41" s="1">
        <f>IF(OR(RSA!$C$12&lt;&gt;"Ready",LEN(RSA!C43)=0),"",IF(L41=1,K41,1))</f>
        <v>1</v>
      </c>
      <c r="O41" s="12">
        <f>IF(OR(RSA!$C$12&lt;&gt;"Ready",LEN(RSA!C43)=0),"",MOD(M41*N41,RSA!$C$16))</f>
        <v>101</v>
      </c>
    </row>
    <row r="42" spans="1:15" ht="21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1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21.95" customHeight="1">
      <c r="A44" s="1" t="s">
        <v>86</v>
      </c>
      <c r="B44" s="1"/>
      <c r="C44" s="1"/>
      <c r="D44" s="1"/>
      <c r="E44" s="1"/>
      <c r="F44" s="1"/>
      <c r="G44" s="1"/>
      <c r="H44" s="1"/>
      <c r="I44" s="1" t="s">
        <v>87</v>
      </c>
      <c r="J44" s="1"/>
      <c r="K44" s="1"/>
      <c r="L44" s="1"/>
      <c r="M44" s="1"/>
      <c r="N44" s="1"/>
      <c r="O44" s="1"/>
    </row>
    <row r="45" spans="1:15" ht="32.1" customHeight="1">
      <c r="A45" s="4" t="s">
        <v>77</v>
      </c>
      <c r="B45" s="4" t="s">
        <v>78</v>
      </c>
      <c r="C45" s="4" t="s">
        <v>79</v>
      </c>
      <c r="D45" s="4" t="s">
        <v>80</v>
      </c>
      <c r="E45" s="4" t="s">
        <v>81</v>
      </c>
      <c r="F45" s="4" t="s">
        <v>82</v>
      </c>
      <c r="G45" s="4" t="s">
        <v>83</v>
      </c>
      <c r="H45" s="1"/>
      <c r="I45" s="4" t="s">
        <v>77</v>
      </c>
      <c r="J45" s="4" t="s">
        <v>78</v>
      </c>
      <c r="K45" s="4" t="s">
        <v>79</v>
      </c>
      <c r="L45" s="4" t="s">
        <v>80</v>
      </c>
      <c r="M45" s="4" t="s">
        <v>81</v>
      </c>
      <c r="N45" s="4" t="s">
        <v>82</v>
      </c>
      <c r="O45" s="4" t="s">
        <v>83</v>
      </c>
    </row>
    <row r="46" spans="1:15" ht="21.95" customHeight="1">
      <c r="A46" s="1">
        <v>1</v>
      </c>
      <c r="B46" s="1">
        <f>IF(OR(RSA!$C$12&lt;&gt;"Ready",LEN(RSA!C44)=0),"",RSA!$C$18)</f>
        <v>7</v>
      </c>
      <c r="C46" s="1">
        <f>IF(OR(RSA!$C$12&lt;&gt;"Ready",LEN(RSA!C44)=0),"",RSA!D44)</f>
        <v>108</v>
      </c>
      <c r="D46" s="1">
        <f>IF(OR(RSA!$C$12&lt;&gt;"Ready",LEN(RSA!C44)=0),"",MOD(B46,2))</f>
        <v>1</v>
      </c>
      <c r="E46" s="1">
        <f>IF(OR(RSA!$C$12&lt;&gt;"Ready",LEN(RSA!C44)=0),"",1)</f>
        <v>1</v>
      </c>
      <c r="F46" s="1">
        <f>IF(OR(RSA!$C$12&lt;&gt;"Ready",LEN(RSA!C44)=0),"",IF(D46=1,C46,1))</f>
        <v>108</v>
      </c>
      <c r="G46" s="1">
        <f>IF(OR(RSA!$C$12&lt;&gt;"Ready",LEN(RSA!C44)=0),"",MOD(E46*F46,RSA!$C$16))</f>
        <v>108</v>
      </c>
      <c r="H46" s="1"/>
      <c r="I46" s="1">
        <v>1</v>
      </c>
      <c r="J46" s="1">
        <f>IF(OR(RSA!$C$12&lt;&gt;"Ready",LEN(RSA!C44)=0),"",RSA!$C$19)</f>
        <v>343</v>
      </c>
      <c r="K46" s="1">
        <f>IF(OR(RSA!$C$12&lt;&gt;"Ready",LEN(RSA!C44)=0),"",RSA!F44)</f>
        <v>212</v>
      </c>
      <c r="L46" s="1">
        <f>IF(OR(RSA!$C$12&lt;&gt;"Ready",LEN(RSA!C44)=0),"",MOD(J46,2))</f>
        <v>1</v>
      </c>
      <c r="M46" s="1">
        <f>IF(OR(RSA!$C$12&lt;&gt;"Ready",LEN(RSA!C44)=0),"",1)</f>
        <v>1</v>
      </c>
      <c r="N46" s="1">
        <f>IF(OR(RSA!$C$12&lt;&gt;"Ready",LEN(RSA!C44)=0),"",IF(L46=1,K46,1))</f>
        <v>212</v>
      </c>
      <c r="O46" s="1">
        <f>IF(OR(RSA!$C$12&lt;&gt;"Ready",LEN(RSA!C44)=0),"",MOD(M46*N46,RSA!$C$16))</f>
        <v>212</v>
      </c>
    </row>
    <row r="47" spans="1:15" ht="21.95" customHeight="1">
      <c r="A47" s="1">
        <v>2</v>
      </c>
      <c r="B47" s="1">
        <f>IF(OR(RSA!$C$12&lt;&gt;"Ready",LEN(RSA!C44)=0),"",INT(B46/2))</f>
        <v>3</v>
      </c>
      <c r="C47" s="1">
        <f>IF(OR(RSA!$C$12&lt;&gt;"Ready",LEN(RSA!C44)=0),"",MOD(C46*C46,RSA!$C$16))</f>
        <v>471</v>
      </c>
      <c r="D47" s="1">
        <f>IF(OR(RSA!$C$12&lt;&gt;"Ready",LEN(RSA!C44)=0),"",MOD(B47,2))</f>
        <v>1</v>
      </c>
      <c r="E47" s="1">
        <f>IF(OR(RSA!$C$12&lt;&gt;"Ready",LEN(RSA!C44)=0),"",G46)</f>
        <v>108</v>
      </c>
      <c r="F47" s="1">
        <f>IF(OR(RSA!$C$12&lt;&gt;"Ready",LEN(RSA!C44)=0),"",IF(D47=1,C47,1))</f>
        <v>471</v>
      </c>
      <c r="G47" s="1">
        <f>IF(OR(RSA!$C$12&lt;&gt;"Ready",LEN(RSA!C44)=0),"",MOD(E47*F47,RSA!$C$16))</f>
        <v>233</v>
      </c>
      <c r="H47" s="1"/>
      <c r="I47" s="1">
        <v>2</v>
      </c>
      <c r="J47" s="1">
        <f>IF(OR(RSA!$C$12&lt;&gt;"Ready",LEN(RSA!C44)=0),"",INT(J46/2))</f>
        <v>171</v>
      </c>
      <c r="K47" s="1">
        <f>IF(OR(RSA!$C$12&lt;&gt;"Ready",LEN(RSA!C44)=0),"",MOD(K46*K46,RSA!$C$16))</f>
        <v>172</v>
      </c>
      <c r="L47" s="1">
        <f>IF(OR(RSA!$C$12&lt;&gt;"Ready",LEN(RSA!C44)=0),"",MOD(J47,2))</f>
        <v>1</v>
      </c>
      <c r="M47" s="1">
        <f>IF(OR(RSA!$C$12&lt;&gt;"Ready",LEN(RSA!C44)=0),"",O46)</f>
        <v>212</v>
      </c>
      <c r="N47" s="1">
        <f>IF(OR(RSA!$C$12&lt;&gt;"Ready",LEN(RSA!C44)=0),"",IF(L47=1,K47,1))</f>
        <v>172</v>
      </c>
      <c r="O47" s="1">
        <f>IF(OR(RSA!$C$12&lt;&gt;"Ready",LEN(RSA!C44)=0),"",MOD(M47*N47,RSA!$C$16))</f>
        <v>220</v>
      </c>
    </row>
    <row r="48" spans="1:15" ht="21.95" customHeight="1">
      <c r="A48" s="1">
        <v>3</v>
      </c>
      <c r="B48" s="1">
        <f>IF(OR(RSA!$C$12&lt;&gt;"Ready",LEN(RSA!C44)=0),"",INT(B47/2))</f>
        <v>1</v>
      </c>
      <c r="C48" s="1">
        <f>IF(OR(RSA!$C$12&lt;&gt;"Ready",LEN(RSA!C44)=0),"",MOD(C47*C47,RSA!$C$16))</f>
        <v>113</v>
      </c>
      <c r="D48" s="1">
        <f>IF(OR(RSA!$C$12&lt;&gt;"Ready",LEN(RSA!C44)=0),"",MOD(B48,2))</f>
        <v>1</v>
      </c>
      <c r="E48" s="1">
        <f>IF(OR(RSA!$C$12&lt;&gt;"Ready",LEN(RSA!C44)=0),"",G47)</f>
        <v>233</v>
      </c>
      <c r="F48" s="1">
        <f>IF(OR(RSA!$C$12&lt;&gt;"Ready",LEN(RSA!C44)=0),"",IF(D48=1,C48,1))</f>
        <v>113</v>
      </c>
      <c r="G48" s="1">
        <f>IF(OR(RSA!$C$12&lt;&gt;"Ready",LEN(RSA!C44)=0),"",MOD(E48*F48,RSA!$C$16))</f>
        <v>212</v>
      </c>
      <c r="H48" s="1"/>
      <c r="I48" s="1">
        <v>3</v>
      </c>
      <c r="J48" s="1">
        <f>IF(OR(RSA!$C$12&lt;&gt;"Ready",LEN(RSA!C44)=0),"",INT(J47/2))</f>
        <v>85</v>
      </c>
      <c r="K48" s="1">
        <f>IF(OR(RSA!$C$12&lt;&gt;"Ready",LEN(RSA!C44)=0),"",MOD(K47*K47,RSA!$C$16))</f>
        <v>269</v>
      </c>
      <c r="L48" s="1">
        <f>IF(OR(RSA!$C$12&lt;&gt;"Ready",LEN(RSA!C44)=0),"",MOD(J48,2))</f>
        <v>1</v>
      </c>
      <c r="M48" s="1">
        <f>IF(OR(RSA!$C$12&lt;&gt;"Ready",LEN(RSA!C44)=0),"",O47)</f>
        <v>220</v>
      </c>
      <c r="N48" s="1">
        <f>IF(OR(RSA!$C$12&lt;&gt;"Ready",LEN(RSA!C44)=0),"",IF(L48=1,K48,1))</f>
        <v>269</v>
      </c>
      <c r="O48" s="1">
        <f>IF(OR(RSA!$C$12&lt;&gt;"Ready",LEN(RSA!C44)=0),"",MOD(M48*N48,RSA!$C$16))</f>
        <v>17</v>
      </c>
    </row>
    <row r="49" spans="1:15" ht="21.95" customHeight="1">
      <c r="A49" s="1">
        <v>4</v>
      </c>
      <c r="B49" s="1">
        <f>IF(OR(RSA!$C$12&lt;&gt;"Ready",LEN(RSA!C44)=0),"",INT(B48/2))</f>
        <v>0</v>
      </c>
      <c r="C49" s="1">
        <f>IF(OR(RSA!$C$12&lt;&gt;"Ready",LEN(RSA!C44)=0),"",MOD(C48*C48,RSA!$C$16))</f>
        <v>510</v>
      </c>
      <c r="D49" s="1">
        <f>IF(OR(RSA!$C$12&lt;&gt;"Ready",LEN(RSA!C44)=0),"",MOD(B49,2))</f>
        <v>0</v>
      </c>
      <c r="E49" s="1">
        <f>IF(OR(RSA!$C$12&lt;&gt;"Ready",LEN(RSA!C44)=0),"",G48)</f>
        <v>212</v>
      </c>
      <c r="F49" s="1">
        <f>IF(OR(RSA!$C$12&lt;&gt;"Ready",LEN(RSA!C44)=0),"",IF(D49=1,C49,1))</f>
        <v>1</v>
      </c>
      <c r="G49" s="1">
        <f>IF(OR(RSA!$C$12&lt;&gt;"Ready",LEN(RSA!C44)=0),"",MOD(E49*F49,RSA!$C$16))</f>
        <v>212</v>
      </c>
      <c r="H49" s="1"/>
      <c r="I49" s="1">
        <v>4</v>
      </c>
      <c r="J49" s="1">
        <f>IF(OR(RSA!$C$12&lt;&gt;"Ready",LEN(RSA!C44)=0),"",INT(J48/2))</f>
        <v>42</v>
      </c>
      <c r="K49" s="1">
        <f>IF(OR(RSA!$C$12&lt;&gt;"Ready",LEN(RSA!C44)=0),"",MOD(K48*K48,RSA!$C$16))</f>
        <v>406</v>
      </c>
      <c r="L49" s="1">
        <f>IF(OR(RSA!$C$12&lt;&gt;"Ready",LEN(RSA!C44)=0),"",MOD(J49,2))</f>
        <v>0</v>
      </c>
      <c r="M49" s="1">
        <f>IF(OR(RSA!$C$12&lt;&gt;"Ready",LEN(RSA!C44)=0),"",O48)</f>
        <v>17</v>
      </c>
      <c r="N49" s="1">
        <f>IF(OR(RSA!$C$12&lt;&gt;"Ready",LEN(RSA!C44)=0),"",IF(L49=1,K49,1))</f>
        <v>1</v>
      </c>
      <c r="O49" s="1">
        <f>IF(OR(RSA!$C$12&lt;&gt;"Ready",LEN(RSA!C44)=0),"",MOD(M49*N49,RSA!$C$16))</f>
        <v>17</v>
      </c>
    </row>
    <row r="50" spans="1:15" ht="21.95" customHeight="1">
      <c r="A50" s="1">
        <v>5</v>
      </c>
      <c r="B50" s="1">
        <f>IF(OR(RSA!$C$12&lt;&gt;"Ready",LEN(RSA!C44)=0),"",INT(B49/2))</f>
        <v>0</v>
      </c>
      <c r="C50" s="1">
        <f>IF(OR(RSA!$C$12&lt;&gt;"Ready",LEN(RSA!C44)=0),"",MOD(C49*C49,RSA!$C$16))</f>
        <v>529</v>
      </c>
      <c r="D50" s="1">
        <f>IF(OR(RSA!$C$12&lt;&gt;"Ready",LEN(RSA!C44)=0),"",MOD(B50,2))</f>
        <v>0</v>
      </c>
      <c r="E50" s="1">
        <f>IF(OR(RSA!$C$12&lt;&gt;"Ready",LEN(RSA!C44)=0),"",G49)</f>
        <v>212</v>
      </c>
      <c r="F50" s="1">
        <f>IF(OR(RSA!$C$12&lt;&gt;"Ready",LEN(RSA!C44)=0),"",IF(D50=1,C50,1))</f>
        <v>1</v>
      </c>
      <c r="G50" s="1">
        <f>IF(OR(RSA!$C$12&lt;&gt;"Ready",LEN(RSA!C44)=0),"",MOD(E50*F50,RSA!$C$16))</f>
        <v>212</v>
      </c>
      <c r="H50" s="1"/>
      <c r="I50" s="1">
        <v>5</v>
      </c>
      <c r="J50" s="1">
        <f>IF(OR(RSA!$C$12&lt;&gt;"Ready",LEN(RSA!C44)=0),"",INT(J49/2))</f>
        <v>21</v>
      </c>
      <c r="K50" s="1">
        <f>IF(OR(RSA!$C$12&lt;&gt;"Ready",LEN(RSA!C44)=0),"",MOD(K49*K49,RSA!$C$16))</f>
        <v>139</v>
      </c>
      <c r="L50" s="1">
        <f>IF(OR(RSA!$C$12&lt;&gt;"Ready",LEN(RSA!C44)=0),"",MOD(J50,2))</f>
        <v>1</v>
      </c>
      <c r="M50" s="1">
        <f>IF(OR(RSA!$C$12&lt;&gt;"Ready",LEN(RSA!C44)=0),"",O49)</f>
        <v>17</v>
      </c>
      <c r="N50" s="1">
        <f>IF(OR(RSA!$C$12&lt;&gt;"Ready",LEN(RSA!C44)=0),"",IF(L50=1,K50,1))</f>
        <v>139</v>
      </c>
      <c r="O50" s="1">
        <f>IF(OR(RSA!$C$12&lt;&gt;"Ready",LEN(RSA!C44)=0),"",MOD(M50*N50,RSA!$C$16))</f>
        <v>231</v>
      </c>
    </row>
    <row r="51" spans="1:15" ht="21.95" customHeight="1">
      <c r="A51" s="1">
        <v>6</v>
      </c>
      <c r="B51" s="1">
        <f>IF(OR(RSA!$C$12&lt;&gt;"Ready",LEN(RSA!C44)=0),"",INT(B50/2))</f>
        <v>0</v>
      </c>
      <c r="C51" s="1">
        <f>IF(OR(RSA!$C$12&lt;&gt;"Ready",LEN(RSA!C44)=0),"",MOD(C50*C50,RSA!$C$16))</f>
        <v>16</v>
      </c>
      <c r="D51" s="1">
        <f>IF(OR(RSA!$C$12&lt;&gt;"Ready",LEN(RSA!C44)=0),"",MOD(B51,2))</f>
        <v>0</v>
      </c>
      <c r="E51" s="1">
        <f>IF(OR(RSA!$C$12&lt;&gt;"Ready",LEN(RSA!C44)=0),"",G50)</f>
        <v>212</v>
      </c>
      <c r="F51" s="1">
        <f>IF(OR(RSA!$C$12&lt;&gt;"Ready",LEN(RSA!C44)=0),"",IF(D51=1,C51,1))</f>
        <v>1</v>
      </c>
      <c r="G51" s="1">
        <f>IF(OR(RSA!$C$12&lt;&gt;"Ready",LEN(RSA!C44)=0),"",MOD(E51*F51,RSA!$C$16))</f>
        <v>212</v>
      </c>
      <c r="H51" s="1"/>
      <c r="I51" s="1">
        <v>6</v>
      </c>
      <c r="J51" s="1">
        <f>IF(OR(RSA!$C$12&lt;&gt;"Ready",LEN(RSA!C44)=0),"",INT(J50/2))</f>
        <v>10</v>
      </c>
      <c r="K51" s="1">
        <f>IF(OR(RSA!$C$12&lt;&gt;"Ready",LEN(RSA!C44)=0),"",MOD(K50*K50,RSA!$C$16))</f>
        <v>133</v>
      </c>
      <c r="L51" s="1">
        <f>IF(OR(RSA!$C$12&lt;&gt;"Ready",LEN(RSA!C44)=0),"",MOD(J51,2))</f>
        <v>0</v>
      </c>
      <c r="M51" s="1">
        <f>IF(OR(RSA!$C$12&lt;&gt;"Ready",LEN(RSA!C44)=0),"",O50)</f>
        <v>231</v>
      </c>
      <c r="N51" s="1">
        <f>IF(OR(RSA!$C$12&lt;&gt;"Ready",LEN(RSA!C44)=0),"",IF(L51=1,K51,1))</f>
        <v>1</v>
      </c>
      <c r="O51" s="1">
        <f>IF(OR(RSA!$C$12&lt;&gt;"Ready",LEN(RSA!C44)=0),"",MOD(M51*N51,RSA!$C$16))</f>
        <v>231</v>
      </c>
    </row>
    <row r="52" spans="1:15" ht="21.95" customHeight="1">
      <c r="A52" s="1">
        <v>7</v>
      </c>
      <c r="B52" s="1">
        <f>IF(OR(RSA!$C$12&lt;&gt;"Ready",LEN(RSA!C44)=0),"",INT(B51/2))</f>
        <v>0</v>
      </c>
      <c r="C52" s="1">
        <f>IF(OR(RSA!$C$12&lt;&gt;"Ready",LEN(RSA!C44)=0),"",MOD(C51*C51,RSA!$C$16))</f>
        <v>256</v>
      </c>
      <c r="D52" s="1">
        <f>IF(OR(RSA!$C$12&lt;&gt;"Ready",LEN(RSA!C44)=0),"",MOD(B52,2))</f>
        <v>0</v>
      </c>
      <c r="E52" s="1">
        <f>IF(OR(RSA!$C$12&lt;&gt;"Ready",LEN(RSA!C44)=0),"",G51)</f>
        <v>212</v>
      </c>
      <c r="F52" s="1">
        <f>IF(OR(RSA!$C$12&lt;&gt;"Ready",LEN(RSA!C44)=0),"",IF(D52=1,C52,1))</f>
        <v>1</v>
      </c>
      <c r="G52" s="1">
        <f>IF(OR(RSA!$C$12&lt;&gt;"Ready",LEN(RSA!C44)=0),"",MOD(E52*F52,RSA!$C$16))</f>
        <v>212</v>
      </c>
      <c r="H52" s="1"/>
      <c r="I52" s="1">
        <v>7</v>
      </c>
      <c r="J52" s="1">
        <f>IF(OR(RSA!$C$12&lt;&gt;"Ready",LEN(RSA!C44)=0),"",INT(J51/2))</f>
        <v>5</v>
      </c>
      <c r="K52" s="1">
        <f>IF(OR(RSA!$C$12&lt;&gt;"Ready",LEN(RSA!C44)=0),"",MOD(K51*K51,RSA!$C$16))</f>
        <v>100</v>
      </c>
      <c r="L52" s="1">
        <f>IF(OR(RSA!$C$12&lt;&gt;"Ready",LEN(RSA!C44)=0),"",MOD(J52,2))</f>
        <v>1</v>
      </c>
      <c r="M52" s="1">
        <f>IF(OR(RSA!$C$12&lt;&gt;"Ready",LEN(RSA!C44)=0),"",O51)</f>
        <v>231</v>
      </c>
      <c r="N52" s="1">
        <f>IF(OR(RSA!$C$12&lt;&gt;"Ready",LEN(RSA!C44)=0),"",IF(L52=1,K52,1))</f>
        <v>100</v>
      </c>
      <c r="O52" s="1">
        <f>IF(OR(RSA!$C$12&lt;&gt;"Ready",LEN(RSA!C44)=0),"",MOD(M52*N52,RSA!$C$16))</f>
        <v>181</v>
      </c>
    </row>
    <row r="53" spans="1:15" ht="21.95" customHeight="1">
      <c r="A53" s="1">
        <v>8</v>
      </c>
      <c r="B53" s="1">
        <f>IF(OR(RSA!$C$12&lt;&gt;"Ready",LEN(RSA!C44)=0),"",INT(B52/2))</f>
        <v>0</v>
      </c>
      <c r="C53" s="1">
        <f>IF(OR(RSA!$C$12&lt;&gt;"Ready",LEN(RSA!C44)=0),"",MOD(C52*C52,RSA!$C$16))</f>
        <v>510</v>
      </c>
      <c r="D53" s="1">
        <f>IF(OR(RSA!$C$12&lt;&gt;"Ready",LEN(RSA!C44)=0),"",MOD(B53,2))</f>
        <v>0</v>
      </c>
      <c r="E53" s="1">
        <f>IF(OR(RSA!$C$12&lt;&gt;"Ready",LEN(RSA!C44)=0),"",G52)</f>
        <v>212</v>
      </c>
      <c r="F53" s="1">
        <f>IF(OR(RSA!$C$12&lt;&gt;"Ready",LEN(RSA!C44)=0),"",IF(D53=1,C53,1))</f>
        <v>1</v>
      </c>
      <c r="G53" s="1">
        <f>IF(OR(RSA!$C$12&lt;&gt;"Ready",LEN(RSA!C44)=0),"",MOD(E53*F53,RSA!$C$16))</f>
        <v>212</v>
      </c>
      <c r="H53" s="1"/>
      <c r="I53" s="1">
        <v>8</v>
      </c>
      <c r="J53" s="1">
        <f>IF(OR(RSA!$C$12&lt;&gt;"Ready",LEN(RSA!C44)=0),"",INT(J52/2))</f>
        <v>2</v>
      </c>
      <c r="K53" s="1">
        <f>IF(OR(RSA!$C$12&lt;&gt;"Ready",LEN(RSA!C44)=0),"",MOD(K52*K52,RSA!$C$16))</f>
        <v>406</v>
      </c>
      <c r="L53" s="1">
        <f>IF(OR(RSA!$C$12&lt;&gt;"Ready",LEN(RSA!C44)=0),"",MOD(J53,2))</f>
        <v>0</v>
      </c>
      <c r="M53" s="1">
        <f>IF(OR(RSA!$C$12&lt;&gt;"Ready",LEN(RSA!C44)=0),"",O52)</f>
        <v>181</v>
      </c>
      <c r="N53" s="1">
        <f>IF(OR(RSA!$C$12&lt;&gt;"Ready",LEN(RSA!C44)=0),"",IF(L53=1,K53,1))</f>
        <v>1</v>
      </c>
      <c r="O53" s="1">
        <f>IF(OR(RSA!$C$12&lt;&gt;"Ready",LEN(RSA!C44)=0),"",MOD(M53*N53,RSA!$C$16))</f>
        <v>181</v>
      </c>
    </row>
    <row r="54" spans="1:15" ht="21.95" customHeight="1">
      <c r="A54" s="1">
        <v>9</v>
      </c>
      <c r="B54" s="1">
        <f>IF(OR(RSA!$C$12&lt;&gt;"Ready",LEN(RSA!C44)=0),"",INT(B53/2))</f>
        <v>0</v>
      </c>
      <c r="C54" s="1">
        <f>IF(OR(RSA!$C$12&lt;&gt;"Ready",LEN(RSA!C44)=0),"",MOD(C53*C53,RSA!$C$16))</f>
        <v>529</v>
      </c>
      <c r="D54" s="1">
        <f>IF(OR(RSA!$C$12&lt;&gt;"Ready",LEN(RSA!C44)=0),"",MOD(B54,2))</f>
        <v>0</v>
      </c>
      <c r="E54" s="1">
        <f>IF(OR(RSA!$C$12&lt;&gt;"Ready",LEN(RSA!C44)=0),"",G53)</f>
        <v>212</v>
      </c>
      <c r="F54" s="1">
        <f>IF(OR(RSA!$C$12&lt;&gt;"Ready",LEN(RSA!C44)=0),"",IF(D54=1,C54,1))</f>
        <v>1</v>
      </c>
      <c r="G54" s="1">
        <f>IF(OR(RSA!$C$12&lt;&gt;"Ready",LEN(RSA!C44)=0),"",MOD(E54*F54,RSA!$C$16))</f>
        <v>212</v>
      </c>
      <c r="H54" s="1"/>
      <c r="I54" s="1">
        <v>9</v>
      </c>
      <c r="J54" s="1">
        <f>IF(OR(RSA!$C$12&lt;&gt;"Ready",LEN(RSA!C44)=0),"",INT(J53/2))</f>
        <v>1</v>
      </c>
      <c r="K54" s="1">
        <f>IF(OR(RSA!$C$12&lt;&gt;"Ready",LEN(RSA!C44)=0),"",MOD(K53*K53,RSA!$C$16))</f>
        <v>139</v>
      </c>
      <c r="L54" s="1">
        <f>IF(OR(RSA!$C$12&lt;&gt;"Ready",LEN(RSA!C44)=0),"",MOD(J54,2))</f>
        <v>1</v>
      </c>
      <c r="M54" s="1">
        <f>IF(OR(RSA!$C$12&lt;&gt;"Ready",LEN(RSA!C44)=0),"",O53)</f>
        <v>181</v>
      </c>
      <c r="N54" s="1">
        <f>IF(OR(RSA!$C$12&lt;&gt;"Ready",LEN(RSA!C44)=0),"",IF(L54=1,K54,1))</f>
        <v>139</v>
      </c>
      <c r="O54" s="1">
        <f>IF(OR(RSA!$C$12&lt;&gt;"Ready",LEN(RSA!C44)=0),"",MOD(M54*N54,RSA!$C$16))</f>
        <v>108</v>
      </c>
    </row>
    <row r="55" spans="1:15" ht="21.95" customHeight="1">
      <c r="A55" s="1">
        <v>10</v>
      </c>
      <c r="B55" s="1">
        <f>IF(OR(RSA!$C$12&lt;&gt;"Ready",LEN(RSA!C44)=0),"",INT(B54/2))</f>
        <v>0</v>
      </c>
      <c r="C55" s="1">
        <f>IF(OR(RSA!$C$12&lt;&gt;"Ready",LEN(RSA!C44)=0),"",MOD(C54*C54,RSA!$C$16))</f>
        <v>16</v>
      </c>
      <c r="D55" s="1">
        <f>IF(OR(RSA!$C$12&lt;&gt;"Ready",LEN(RSA!C44)=0),"",MOD(B55,2))</f>
        <v>0</v>
      </c>
      <c r="E55" s="1">
        <f>IF(OR(RSA!$C$12&lt;&gt;"Ready",LEN(RSA!C44)=0),"",G54)</f>
        <v>212</v>
      </c>
      <c r="F55" s="1">
        <f>IF(OR(RSA!$C$12&lt;&gt;"Ready",LEN(RSA!C44)=0),"",IF(D55=1,C55,1))</f>
        <v>1</v>
      </c>
      <c r="G55" s="1">
        <f>IF(OR(RSA!$C$12&lt;&gt;"Ready",LEN(RSA!C44)=0),"",MOD(E55*F55,RSA!$C$16))</f>
        <v>212</v>
      </c>
      <c r="H55" s="1"/>
      <c r="I55" s="1">
        <v>10</v>
      </c>
      <c r="J55" s="1">
        <f>IF(OR(RSA!$C$12&lt;&gt;"Ready",LEN(RSA!C44)=0),"",INT(J54/2))</f>
        <v>0</v>
      </c>
      <c r="K55" s="1">
        <f>IF(OR(RSA!$C$12&lt;&gt;"Ready",LEN(RSA!C44)=0),"",MOD(K54*K54,RSA!$C$16))</f>
        <v>133</v>
      </c>
      <c r="L55" s="1">
        <f>IF(OR(RSA!$C$12&lt;&gt;"Ready",LEN(RSA!C44)=0),"",MOD(J55,2))</f>
        <v>0</v>
      </c>
      <c r="M55" s="1">
        <f>IF(OR(RSA!$C$12&lt;&gt;"Ready",LEN(RSA!C44)=0),"",O54)</f>
        <v>108</v>
      </c>
      <c r="N55" s="1">
        <f>IF(OR(RSA!$C$12&lt;&gt;"Ready",LEN(RSA!C44)=0),"",IF(L55=1,K55,1))</f>
        <v>1</v>
      </c>
      <c r="O55" s="1">
        <f>IF(OR(RSA!$C$12&lt;&gt;"Ready",LEN(RSA!C44)=0),"",MOD(M55*N55,RSA!$C$16))</f>
        <v>108</v>
      </c>
    </row>
    <row r="56" spans="1:15" ht="21.95" customHeight="1">
      <c r="A56" s="1">
        <v>11</v>
      </c>
      <c r="B56" s="1">
        <f>IF(OR(RSA!$C$12&lt;&gt;"Ready",LEN(RSA!C44)=0),"",INT(B55/2))</f>
        <v>0</v>
      </c>
      <c r="C56" s="1">
        <f>IF(OR(RSA!$C$12&lt;&gt;"Ready",LEN(RSA!C44)=0),"",MOD(C55*C55,RSA!$C$16))</f>
        <v>256</v>
      </c>
      <c r="D56" s="1">
        <f>IF(OR(RSA!$C$12&lt;&gt;"Ready",LEN(RSA!C44)=0),"",MOD(B56,2))</f>
        <v>0</v>
      </c>
      <c r="E56" s="1">
        <f>IF(OR(RSA!$C$12&lt;&gt;"Ready",LEN(RSA!C44)=0),"",G55)</f>
        <v>212</v>
      </c>
      <c r="F56" s="1">
        <f>IF(OR(RSA!$C$12&lt;&gt;"Ready",LEN(RSA!C44)=0),"",IF(D56=1,C56,1))</f>
        <v>1</v>
      </c>
      <c r="G56" s="1">
        <f>IF(OR(RSA!$C$12&lt;&gt;"Ready",LEN(RSA!C44)=0),"",MOD(E56*F56,RSA!$C$16))</f>
        <v>212</v>
      </c>
      <c r="H56" s="1"/>
      <c r="I56" s="1">
        <v>11</v>
      </c>
      <c r="J56" s="1">
        <f>IF(OR(RSA!$C$12&lt;&gt;"Ready",LEN(RSA!C44)=0),"",INT(J55/2))</f>
        <v>0</v>
      </c>
      <c r="K56" s="1">
        <f>IF(OR(RSA!$C$12&lt;&gt;"Ready",LEN(RSA!C44)=0),"",MOD(K55*K55,RSA!$C$16))</f>
        <v>100</v>
      </c>
      <c r="L56" s="1">
        <f>IF(OR(RSA!$C$12&lt;&gt;"Ready",LEN(RSA!C44)=0),"",MOD(J56,2))</f>
        <v>0</v>
      </c>
      <c r="M56" s="1">
        <f>IF(OR(RSA!$C$12&lt;&gt;"Ready",LEN(RSA!C44)=0),"",O55)</f>
        <v>108</v>
      </c>
      <c r="N56" s="1">
        <f>IF(OR(RSA!$C$12&lt;&gt;"Ready",LEN(RSA!C44)=0),"",IF(L56=1,K56,1))</f>
        <v>1</v>
      </c>
      <c r="O56" s="1">
        <f>IF(OR(RSA!$C$12&lt;&gt;"Ready",LEN(RSA!C44)=0),"",MOD(M56*N56,RSA!$C$16))</f>
        <v>108</v>
      </c>
    </row>
    <row r="57" spans="1:15" ht="21.95" customHeight="1">
      <c r="A57" s="1">
        <v>12</v>
      </c>
      <c r="B57" s="1">
        <f>IF(OR(RSA!$C$12&lt;&gt;"Ready",LEN(RSA!C44)=0),"",INT(B56/2))</f>
        <v>0</v>
      </c>
      <c r="C57" s="1">
        <f>IF(OR(RSA!$C$12&lt;&gt;"Ready",LEN(RSA!C44)=0),"",MOD(C56*C56,RSA!$C$16))</f>
        <v>510</v>
      </c>
      <c r="D57" s="1">
        <f>IF(OR(RSA!$C$12&lt;&gt;"Ready",LEN(RSA!C44)=0),"",MOD(B57,2))</f>
        <v>0</v>
      </c>
      <c r="E57" s="1">
        <f>IF(OR(RSA!$C$12&lt;&gt;"Ready",LEN(RSA!C44)=0),"",G56)</f>
        <v>212</v>
      </c>
      <c r="F57" s="1">
        <f>IF(OR(RSA!$C$12&lt;&gt;"Ready",LEN(RSA!C44)=0),"",IF(D57=1,C57,1))</f>
        <v>1</v>
      </c>
      <c r="G57" s="1">
        <f>IF(OR(RSA!$C$12&lt;&gt;"Ready",LEN(RSA!C44)=0),"",MOD(E57*F57,RSA!$C$16))</f>
        <v>212</v>
      </c>
      <c r="H57" s="1"/>
      <c r="I57" s="1">
        <v>12</v>
      </c>
      <c r="J57" s="1">
        <f>IF(OR(RSA!$C$12&lt;&gt;"Ready",LEN(RSA!C44)=0),"",INT(J56/2))</f>
        <v>0</v>
      </c>
      <c r="K57" s="1">
        <f>IF(OR(RSA!$C$12&lt;&gt;"Ready",LEN(RSA!C44)=0),"",MOD(K56*K56,RSA!$C$16))</f>
        <v>406</v>
      </c>
      <c r="L57" s="1">
        <f>IF(OR(RSA!$C$12&lt;&gt;"Ready",LEN(RSA!C44)=0),"",MOD(J57,2))</f>
        <v>0</v>
      </c>
      <c r="M57" s="1">
        <f>IF(OR(RSA!$C$12&lt;&gt;"Ready",LEN(RSA!C44)=0),"",O56)</f>
        <v>108</v>
      </c>
      <c r="N57" s="1">
        <f>IF(OR(RSA!$C$12&lt;&gt;"Ready",LEN(RSA!C44)=0),"",IF(L57=1,K57,1))</f>
        <v>1</v>
      </c>
      <c r="O57" s="1">
        <f>IF(OR(RSA!$C$12&lt;&gt;"Ready",LEN(RSA!C44)=0),"",MOD(M57*N57,RSA!$C$16))</f>
        <v>108</v>
      </c>
    </row>
    <row r="58" spans="1:15" ht="21.95" customHeight="1">
      <c r="A58" s="1">
        <v>13</v>
      </c>
      <c r="B58" s="1">
        <f>IF(OR(RSA!$C$12&lt;&gt;"Ready",LEN(RSA!C44)=0),"",INT(B57/2))</f>
        <v>0</v>
      </c>
      <c r="C58" s="1">
        <f>IF(OR(RSA!$C$12&lt;&gt;"Ready",LEN(RSA!C44)=0),"",MOD(C57*C57,RSA!$C$16))</f>
        <v>529</v>
      </c>
      <c r="D58" s="1">
        <f>IF(OR(RSA!$C$12&lt;&gt;"Ready",LEN(RSA!C44)=0),"",MOD(B58,2))</f>
        <v>0</v>
      </c>
      <c r="E58" s="1">
        <f>IF(OR(RSA!$C$12&lt;&gt;"Ready",LEN(RSA!C44)=0),"",G57)</f>
        <v>212</v>
      </c>
      <c r="F58" s="1">
        <f>IF(OR(RSA!$C$12&lt;&gt;"Ready",LEN(RSA!C44)=0),"",IF(D58=1,C58,1))</f>
        <v>1</v>
      </c>
      <c r="G58" s="1">
        <f>IF(OR(RSA!$C$12&lt;&gt;"Ready",LEN(RSA!C44)=0),"",MOD(E58*F58,RSA!$C$16))</f>
        <v>212</v>
      </c>
      <c r="H58" s="1"/>
      <c r="I58" s="1">
        <v>13</v>
      </c>
      <c r="J58" s="1">
        <f>IF(OR(RSA!$C$12&lt;&gt;"Ready",LEN(RSA!C44)=0),"",INT(J57/2))</f>
        <v>0</v>
      </c>
      <c r="K58" s="1">
        <f>IF(OR(RSA!$C$12&lt;&gt;"Ready",LEN(RSA!C44)=0),"",MOD(K57*K57,RSA!$C$16))</f>
        <v>139</v>
      </c>
      <c r="L58" s="1">
        <f>IF(OR(RSA!$C$12&lt;&gt;"Ready",LEN(RSA!C44)=0),"",MOD(J58,2))</f>
        <v>0</v>
      </c>
      <c r="M58" s="1">
        <f>IF(OR(RSA!$C$12&lt;&gt;"Ready",LEN(RSA!C44)=0),"",O57)</f>
        <v>108</v>
      </c>
      <c r="N58" s="1">
        <f>IF(OR(RSA!$C$12&lt;&gt;"Ready",LEN(RSA!C44)=0),"",IF(L58=1,K58,1))</f>
        <v>1</v>
      </c>
      <c r="O58" s="1">
        <f>IF(OR(RSA!$C$12&lt;&gt;"Ready",LEN(RSA!C44)=0),"",MOD(M58*N58,RSA!$C$16))</f>
        <v>108</v>
      </c>
    </row>
    <row r="59" spans="1:15" ht="21.95" customHeight="1">
      <c r="A59" s="1">
        <v>14</v>
      </c>
      <c r="B59" s="1">
        <f>IF(OR(RSA!$C$12&lt;&gt;"Ready",LEN(RSA!C44)=0),"",INT(B58/2))</f>
        <v>0</v>
      </c>
      <c r="C59" s="1">
        <f>IF(OR(RSA!$C$12&lt;&gt;"Ready",LEN(RSA!C44)=0),"",MOD(C58*C58,RSA!$C$16))</f>
        <v>16</v>
      </c>
      <c r="D59" s="1">
        <f>IF(OR(RSA!$C$12&lt;&gt;"Ready",LEN(RSA!C44)=0),"",MOD(B59,2))</f>
        <v>0</v>
      </c>
      <c r="E59" s="1">
        <f>IF(OR(RSA!$C$12&lt;&gt;"Ready",LEN(RSA!C44)=0),"",G58)</f>
        <v>212</v>
      </c>
      <c r="F59" s="1">
        <f>IF(OR(RSA!$C$12&lt;&gt;"Ready",LEN(RSA!C44)=0),"",IF(D59=1,C59,1))</f>
        <v>1</v>
      </c>
      <c r="G59" s="12">
        <f>IF(OR(RSA!$C$12&lt;&gt;"Ready",LEN(RSA!C44)=0),"",MOD(E59*F59,RSA!$C$16))</f>
        <v>212</v>
      </c>
      <c r="H59" s="1"/>
      <c r="I59" s="1">
        <v>14</v>
      </c>
      <c r="J59" s="1">
        <f>IF(OR(RSA!$C$12&lt;&gt;"Ready",LEN(RSA!C44)=0),"",INT(J58/2))</f>
        <v>0</v>
      </c>
      <c r="K59" s="1">
        <f>IF(OR(RSA!$C$12&lt;&gt;"Ready",LEN(RSA!C44)=0),"",MOD(K58*K58,RSA!$C$16))</f>
        <v>133</v>
      </c>
      <c r="L59" s="1">
        <f>IF(OR(RSA!$C$12&lt;&gt;"Ready",LEN(RSA!C44)=0),"",MOD(J59,2))</f>
        <v>0</v>
      </c>
      <c r="M59" s="1">
        <f>IF(OR(RSA!$C$12&lt;&gt;"Ready",LEN(RSA!C44)=0),"",O58)</f>
        <v>108</v>
      </c>
      <c r="N59" s="1">
        <f>IF(OR(RSA!$C$12&lt;&gt;"Ready",LEN(RSA!C44)=0),"",IF(L59=1,K59,1))</f>
        <v>1</v>
      </c>
      <c r="O59" s="12">
        <f>IF(OR(RSA!$C$12&lt;&gt;"Ready",LEN(RSA!C44)=0),"",MOD(M59*N59,RSA!$C$16))</f>
        <v>108</v>
      </c>
    </row>
    <row r="60" spans="1:15" ht="21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21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21.95" customHeight="1">
      <c r="A62" s="1" t="s">
        <v>88</v>
      </c>
      <c r="B62" s="1"/>
      <c r="C62" s="1"/>
      <c r="D62" s="1"/>
      <c r="E62" s="1"/>
      <c r="F62" s="1"/>
      <c r="G62" s="1"/>
      <c r="H62" s="1"/>
      <c r="I62" s="1" t="s">
        <v>89</v>
      </c>
      <c r="J62" s="1"/>
      <c r="K62" s="1"/>
      <c r="L62" s="1"/>
      <c r="M62" s="1"/>
      <c r="N62" s="1"/>
      <c r="O62" s="1"/>
    </row>
    <row r="63" spans="1:15" ht="32.1" customHeight="1">
      <c r="A63" s="4" t="s">
        <v>77</v>
      </c>
      <c r="B63" s="4" t="s">
        <v>78</v>
      </c>
      <c r="C63" s="4" t="s">
        <v>79</v>
      </c>
      <c r="D63" s="4" t="s">
        <v>80</v>
      </c>
      <c r="E63" s="4" t="s">
        <v>81</v>
      </c>
      <c r="F63" s="4" t="s">
        <v>82</v>
      </c>
      <c r="G63" s="4" t="s">
        <v>83</v>
      </c>
      <c r="H63" s="1"/>
      <c r="I63" s="4" t="s">
        <v>77</v>
      </c>
      <c r="J63" s="4" t="s">
        <v>78</v>
      </c>
      <c r="K63" s="4" t="s">
        <v>79</v>
      </c>
      <c r="L63" s="4" t="s">
        <v>80</v>
      </c>
      <c r="M63" s="4" t="s">
        <v>81</v>
      </c>
      <c r="N63" s="4" t="s">
        <v>82</v>
      </c>
      <c r="O63" s="4" t="s">
        <v>83</v>
      </c>
    </row>
    <row r="64" spans="1:15" ht="21.95" customHeight="1">
      <c r="A64" s="1">
        <v>1</v>
      </c>
      <c r="B64" s="1">
        <f>IF(OR(RSA!$C$12&lt;&gt;"Ready",LEN(RSA!C45)=0),"",RSA!$C$18)</f>
        <v>7</v>
      </c>
      <c r="C64" s="1">
        <f>IF(OR(RSA!$C$12&lt;&gt;"Ready",LEN(RSA!C45)=0),"",RSA!D45)</f>
        <v>108</v>
      </c>
      <c r="D64" s="1">
        <f>IF(OR(RSA!$C$12&lt;&gt;"Ready",LEN(RSA!C45)=0),"",MOD(B64,2))</f>
        <v>1</v>
      </c>
      <c r="E64" s="1">
        <f>IF(OR(RSA!$C$12&lt;&gt;"Ready",LEN(RSA!C45)=0),"",1)</f>
        <v>1</v>
      </c>
      <c r="F64" s="1">
        <f>IF(OR(RSA!$C$12&lt;&gt;"Ready",LEN(RSA!C45)=0),"",IF(D64=1,C64,1))</f>
        <v>108</v>
      </c>
      <c r="G64" s="1">
        <f>IF(OR(RSA!$C$12&lt;&gt;"Ready",LEN(RSA!C45)=0),"",MOD(E64*F64,RSA!$C$16))</f>
        <v>108</v>
      </c>
      <c r="H64" s="1"/>
      <c r="I64" s="1">
        <v>1</v>
      </c>
      <c r="J64" s="1">
        <f>IF(OR(RSA!$C$12&lt;&gt;"Ready",LEN(RSA!C45)=0),"",RSA!$C$19)</f>
        <v>343</v>
      </c>
      <c r="K64" s="1">
        <f>IF(OR(RSA!$C$12&lt;&gt;"Ready",LEN(RSA!C45)=0),"",RSA!F45)</f>
        <v>212</v>
      </c>
      <c r="L64" s="1">
        <f>IF(OR(RSA!$C$12&lt;&gt;"Ready",LEN(RSA!C45)=0),"",MOD(J64,2))</f>
        <v>1</v>
      </c>
      <c r="M64" s="1">
        <f>IF(OR(RSA!$C$12&lt;&gt;"Ready",LEN(RSA!C45)=0),"",1)</f>
        <v>1</v>
      </c>
      <c r="N64" s="1">
        <f>IF(OR(RSA!$C$12&lt;&gt;"Ready",LEN(RSA!C45)=0),"",IF(L64=1,K64,1))</f>
        <v>212</v>
      </c>
      <c r="O64" s="1">
        <f>IF(OR(RSA!$C$12&lt;&gt;"Ready",LEN(RSA!C45)=0),"",MOD(M64*N64,RSA!$C$16))</f>
        <v>212</v>
      </c>
    </row>
    <row r="65" spans="1:15" ht="21.95" customHeight="1">
      <c r="A65" s="1">
        <v>2</v>
      </c>
      <c r="B65" s="1">
        <f>IF(OR(RSA!$C$12&lt;&gt;"Ready",LEN(RSA!C45)=0),"",INT(B64/2))</f>
        <v>3</v>
      </c>
      <c r="C65" s="1">
        <f>IF(OR(RSA!$C$12&lt;&gt;"Ready",LEN(RSA!C45)=0),"",MOD(C64*C64,RSA!$C$16))</f>
        <v>471</v>
      </c>
      <c r="D65" s="1">
        <f>IF(OR(RSA!$C$12&lt;&gt;"Ready",LEN(RSA!C45)=0),"",MOD(B65,2))</f>
        <v>1</v>
      </c>
      <c r="E65" s="1">
        <f>IF(OR(RSA!$C$12&lt;&gt;"Ready",LEN(RSA!C45)=0),"",G64)</f>
        <v>108</v>
      </c>
      <c r="F65" s="1">
        <f>IF(OR(RSA!$C$12&lt;&gt;"Ready",LEN(RSA!C45)=0),"",IF(D65=1,C65,1))</f>
        <v>471</v>
      </c>
      <c r="G65" s="1">
        <f>IF(OR(RSA!$C$12&lt;&gt;"Ready",LEN(RSA!C45)=0),"",MOD(E65*F65,RSA!$C$16))</f>
        <v>233</v>
      </c>
      <c r="H65" s="1"/>
      <c r="I65" s="1">
        <v>2</v>
      </c>
      <c r="J65" s="1">
        <f>IF(OR(RSA!$C$12&lt;&gt;"Ready",LEN(RSA!C45)=0),"",INT(J64/2))</f>
        <v>171</v>
      </c>
      <c r="K65" s="1">
        <f>IF(OR(RSA!$C$12&lt;&gt;"Ready",LEN(RSA!C45)=0),"",MOD(K64*K64,RSA!$C$16))</f>
        <v>172</v>
      </c>
      <c r="L65" s="1">
        <f>IF(OR(RSA!$C$12&lt;&gt;"Ready",LEN(RSA!C45)=0),"",MOD(J65,2))</f>
        <v>1</v>
      </c>
      <c r="M65" s="1">
        <f>IF(OR(RSA!$C$12&lt;&gt;"Ready",LEN(RSA!C45)=0),"",O64)</f>
        <v>212</v>
      </c>
      <c r="N65" s="1">
        <f>IF(OR(RSA!$C$12&lt;&gt;"Ready",LEN(RSA!C45)=0),"",IF(L65=1,K65,1))</f>
        <v>172</v>
      </c>
      <c r="O65" s="1">
        <f>IF(OR(RSA!$C$12&lt;&gt;"Ready",LEN(RSA!C45)=0),"",MOD(M65*N65,RSA!$C$16))</f>
        <v>220</v>
      </c>
    </row>
    <row r="66" spans="1:15" ht="21.95" customHeight="1">
      <c r="A66" s="1">
        <v>3</v>
      </c>
      <c r="B66" s="1">
        <f>IF(OR(RSA!$C$12&lt;&gt;"Ready",LEN(RSA!C45)=0),"",INT(B65/2))</f>
        <v>1</v>
      </c>
      <c r="C66" s="1">
        <f>IF(OR(RSA!$C$12&lt;&gt;"Ready",LEN(RSA!C45)=0),"",MOD(C65*C65,RSA!$C$16))</f>
        <v>113</v>
      </c>
      <c r="D66" s="1">
        <f>IF(OR(RSA!$C$12&lt;&gt;"Ready",LEN(RSA!C45)=0),"",MOD(B66,2))</f>
        <v>1</v>
      </c>
      <c r="E66" s="1">
        <f>IF(OR(RSA!$C$12&lt;&gt;"Ready",LEN(RSA!C45)=0),"",G65)</f>
        <v>233</v>
      </c>
      <c r="F66" s="1">
        <f>IF(OR(RSA!$C$12&lt;&gt;"Ready",LEN(RSA!C45)=0),"",IF(D66=1,C66,1))</f>
        <v>113</v>
      </c>
      <c r="G66" s="1">
        <f>IF(OR(RSA!$C$12&lt;&gt;"Ready",LEN(RSA!C45)=0),"",MOD(E66*F66,RSA!$C$16))</f>
        <v>212</v>
      </c>
      <c r="H66" s="1"/>
      <c r="I66" s="1">
        <v>3</v>
      </c>
      <c r="J66" s="1">
        <f>IF(OR(RSA!$C$12&lt;&gt;"Ready",LEN(RSA!C45)=0),"",INT(J65/2))</f>
        <v>85</v>
      </c>
      <c r="K66" s="1">
        <f>IF(OR(RSA!$C$12&lt;&gt;"Ready",LEN(RSA!C45)=0),"",MOD(K65*K65,RSA!$C$16))</f>
        <v>269</v>
      </c>
      <c r="L66" s="1">
        <f>IF(OR(RSA!$C$12&lt;&gt;"Ready",LEN(RSA!C45)=0),"",MOD(J66,2))</f>
        <v>1</v>
      </c>
      <c r="M66" s="1">
        <f>IF(OR(RSA!$C$12&lt;&gt;"Ready",LEN(RSA!C45)=0),"",O65)</f>
        <v>220</v>
      </c>
      <c r="N66" s="1">
        <f>IF(OR(RSA!$C$12&lt;&gt;"Ready",LEN(RSA!C45)=0),"",IF(L66=1,K66,1))</f>
        <v>269</v>
      </c>
      <c r="O66" s="1">
        <f>IF(OR(RSA!$C$12&lt;&gt;"Ready",LEN(RSA!C45)=0),"",MOD(M66*N66,RSA!$C$16))</f>
        <v>17</v>
      </c>
    </row>
    <row r="67" spans="1:15" ht="21.95" customHeight="1">
      <c r="A67" s="1">
        <v>4</v>
      </c>
      <c r="B67" s="1">
        <f>IF(OR(RSA!$C$12&lt;&gt;"Ready",LEN(RSA!C45)=0),"",INT(B66/2))</f>
        <v>0</v>
      </c>
      <c r="C67" s="1">
        <f>IF(OR(RSA!$C$12&lt;&gt;"Ready",LEN(RSA!C45)=0),"",MOD(C66*C66,RSA!$C$16))</f>
        <v>510</v>
      </c>
      <c r="D67" s="1">
        <f>IF(OR(RSA!$C$12&lt;&gt;"Ready",LEN(RSA!C45)=0),"",MOD(B67,2))</f>
        <v>0</v>
      </c>
      <c r="E67" s="1">
        <f>IF(OR(RSA!$C$12&lt;&gt;"Ready",LEN(RSA!C45)=0),"",G66)</f>
        <v>212</v>
      </c>
      <c r="F67" s="1">
        <f>IF(OR(RSA!$C$12&lt;&gt;"Ready",LEN(RSA!C45)=0),"",IF(D67=1,C67,1))</f>
        <v>1</v>
      </c>
      <c r="G67" s="1">
        <f>IF(OR(RSA!$C$12&lt;&gt;"Ready",LEN(RSA!C45)=0),"",MOD(E67*F67,RSA!$C$16))</f>
        <v>212</v>
      </c>
      <c r="H67" s="1"/>
      <c r="I67" s="1">
        <v>4</v>
      </c>
      <c r="J67" s="1">
        <f>IF(OR(RSA!$C$12&lt;&gt;"Ready",LEN(RSA!C45)=0),"",INT(J66/2))</f>
        <v>42</v>
      </c>
      <c r="K67" s="1">
        <f>IF(OR(RSA!$C$12&lt;&gt;"Ready",LEN(RSA!C45)=0),"",MOD(K66*K66,RSA!$C$16))</f>
        <v>406</v>
      </c>
      <c r="L67" s="1">
        <f>IF(OR(RSA!$C$12&lt;&gt;"Ready",LEN(RSA!C45)=0),"",MOD(J67,2))</f>
        <v>0</v>
      </c>
      <c r="M67" s="1">
        <f>IF(OR(RSA!$C$12&lt;&gt;"Ready",LEN(RSA!C45)=0),"",O66)</f>
        <v>17</v>
      </c>
      <c r="N67" s="1">
        <f>IF(OR(RSA!$C$12&lt;&gt;"Ready",LEN(RSA!C45)=0),"",IF(L67=1,K67,1))</f>
        <v>1</v>
      </c>
      <c r="O67" s="1">
        <f>IF(OR(RSA!$C$12&lt;&gt;"Ready",LEN(RSA!C45)=0),"",MOD(M67*N67,RSA!$C$16))</f>
        <v>17</v>
      </c>
    </row>
    <row r="68" spans="1:15" ht="21.95" customHeight="1">
      <c r="A68" s="1">
        <v>5</v>
      </c>
      <c r="B68" s="1">
        <f>IF(OR(RSA!$C$12&lt;&gt;"Ready",LEN(RSA!C45)=0),"",INT(B67/2))</f>
        <v>0</v>
      </c>
      <c r="C68" s="1">
        <f>IF(OR(RSA!$C$12&lt;&gt;"Ready",LEN(RSA!C45)=0),"",MOD(C67*C67,RSA!$C$16))</f>
        <v>529</v>
      </c>
      <c r="D68" s="1">
        <f>IF(OR(RSA!$C$12&lt;&gt;"Ready",LEN(RSA!C45)=0),"",MOD(B68,2))</f>
        <v>0</v>
      </c>
      <c r="E68" s="1">
        <f>IF(OR(RSA!$C$12&lt;&gt;"Ready",LEN(RSA!C45)=0),"",G67)</f>
        <v>212</v>
      </c>
      <c r="F68" s="1">
        <f>IF(OR(RSA!$C$12&lt;&gt;"Ready",LEN(RSA!C45)=0),"",IF(D68=1,C68,1))</f>
        <v>1</v>
      </c>
      <c r="G68" s="1">
        <f>IF(OR(RSA!$C$12&lt;&gt;"Ready",LEN(RSA!C45)=0),"",MOD(E68*F68,RSA!$C$16))</f>
        <v>212</v>
      </c>
      <c r="H68" s="1"/>
      <c r="I68" s="1">
        <v>5</v>
      </c>
      <c r="J68" s="1">
        <f>IF(OR(RSA!$C$12&lt;&gt;"Ready",LEN(RSA!C45)=0),"",INT(J67/2))</f>
        <v>21</v>
      </c>
      <c r="K68" s="1">
        <f>IF(OR(RSA!$C$12&lt;&gt;"Ready",LEN(RSA!C45)=0),"",MOD(K67*K67,RSA!$C$16))</f>
        <v>139</v>
      </c>
      <c r="L68" s="1">
        <f>IF(OR(RSA!$C$12&lt;&gt;"Ready",LEN(RSA!C45)=0),"",MOD(J68,2))</f>
        <v>1</v>
      </c>
      <c r="M68" s="1">
        <f>IF(OR(RSA!$C$12&lt;&gt;"Ready",LEN(RSA!C45)=0),"",O67)</f>
        <v>17</v>
      </c>
      <c r="N68" s="1">
        <f>IF(OR(RSA!$C$12&lt;&gt;"Ready",LEN(RSA!C45)=0),"",IF(L68=1,K68,1))</f>
        <v>139</v>
      </c>
      <c r="O68" s="1">
        <f>IF(OR(RSA!$C$12&lt;&gt;"Ready",LEN(RSA!C45)=0),"",MOD(M68*N68,RSA!$C$16))</f>
        <v>231</v>
      </c>
    </row>
    <row r="69" spans="1:15" ht="21.95" customHeight="1">
      <c r="A69" s="1">
        <v>6</v>
      </c>
      <c r="B69" s="1">
        <f>IF(OR(RSA!$C$12&lt;&gt;"Ready",LEN(RSA!C45)=0),"",INT(B68/2))</f>
        <v>0</v>
      </c>
      <c r="C69" s="1">
        <f>IF(OR(RSA!$C$12&lt;&gt;"Ready",LEN(RSA!C45)=0),"",MOD(C68*C68,RSA!$C$16))</f>
        <v>16</v>
      </c>
      <c r="D69" s="1">
        <f>IF(OR(RSA!$C$12&lt;&gt;"Ready",LEN(RSA!C45)=0),"",MOD(B69,2))</f>
        <v>0</v>
      </c>
      <c r="E69" s="1">
        <f>IF(OR(RSA!$C$12&lt;&gt;"Ready",LEN(RSA!C45)=0),"",G68)</f>
        <v>212</v>
      </c>
      <c r="F69" s="1">
        <f>IF(OR(RSA!$C$12&lt;&gt;"Ready",LEN(RSA!C45)=0),"",IF(D69=1,C69,1))</f>
        <v>1</v>
      </c>
      <c r="G69" s="1">
        <f>IF(OR(RSA!$C$12&lt;&gt;"Ready",LEN(RSA!C45)=0),"",MOD(E69*F69,RSA!$C$16))</f>
        <v>212</v>
      </c>
      <c r="H69" s="1"/>
      <c r="I69" s="1">
        <v>6</v>
      </c>
      <c r="J69" s="1">
        <f>IF(OR(RSA!$C$12&lt;&gt;"Ready",LEN(RSA!C45)=0),"",INT(J68/2))</f>
        <v>10</v>
      </c>
      <c r="K69" s="1">
        <f>IF(OR(RSA!$C$12&lt;&gt;"Ready",LEN(RSA!C45)=0),"",MOD(K68*K68,RSA!$C$16))</f>
        <v>133</v>
      </c>
      <c r="L69" s="1">
        <f>IF(OR(RSA!$C$12&lt;&gt;"Ready",LEN(RSA!C45)=0),"",MOD(J69,2))</f>
        <v>0</v>
      </c>
      <c r="M69" s="1">
        <f>IF(OR(RSA!$C$12&lt;&gt;"Ready",LEN(RSA!C45)=0),"",O68)</f>
        <v>231</v>
      </c>
      <c r="N69" s="1">
        <f>IF(OR(RSA!$C$12&lt;&gt;"Ready",LEN(RSA!C45)=0),"",IF(L69=1,K69,1))</f>
        <v>1</v>
      </c>
      <c r="O69" s="1">
        <f>IF(OR(RSA!$C$12&lt;&gt;"Ready",LEN(RSA!C45)=0),"",MOD(M69*N69,RSA!$C$16))</f>
        <v>231</v>
      </c>
    </row>
    <row r="70" spans="1:15" ht="21.95" customHeight="1">
      <c r="A70" s="1">
        <v>7</v>
      </c>
      <c r="B70" s="1">
        <f>IF(OR(RSA!$C$12&lt;&gt;"Ready",LEN(RSA!C45)=0),"",INT(B69/2))</f>
        <v>0</v>
      </c>
      <c r="C70" s="1">
        <f>IF(OR(RSA!$C$12&lt;&gt;"Ready",LEN(RSA!C45)=0),"",MOD(C69*C69,RSA!$C$16))</f>
        <v>256</v>
      </c>
      <c r="D70" s="1">
        <f>IF(OR(RSA!$C$12&lt;&gt;"Ready",LEN(RSA!C45)=0),"",MOD(B70,2))</f>
        <v>0</v>
      </c>
      <c r="E70" s="1">
        <f>IF(OR(RSA!$C$12&lt;&gt;"Ready",LEN(RSA!C45)=0),"",G69)</f>
        <v>212</v>
      </c>
      <c r="F70" s="1">
        <f>IF(OR(RSA!$C$12&lt;&gt;"Ready",LEN(RSA!C45)=0),"",IF(D70=1,C70,1))</f>
        <v>1</v>
      </c>
      <c r="G70" s="1">
        <f>IF(OR(RSA!$C$12&lt;&gt;"Ready",LEN(RSA!C45)=0),"",MOD(E70*F70,RSA!$C$16))</f>
        <v>212</v>
      </c>
      <c r="H70" s="1"/>
      <c r="I70" s="1">
        <v>7</v>
      </c>
      <c r="J70" s="1">
        <f>IF(OR(RSA!$C$12&lt;&gt;"Ready",LEN(RSA!C45)=0),"",INT(J69/2))</f>
        <v>5</v>
      </c>
      <c r="K70" s="1">
        <f>IF(OR(RSA!$C$12&lt;&gt;"Ready",LEN(RSA!C45)=0),"",MOD(K69*K69,RSA!$C$16))</f>
        <v>100</v>
      </c>
      <c r="L70" s="1">
        <f>IF(OR(RSA!$C$12&lt;&gt;"Ready",LEN(RSA!C45)=0),"",MOD(J70,2))</f>
        <v>1</v>
      </c>
      <c r="M70" s="1">
        <f>IF(OR(RSA!$C$12&lt;&gt;"Ready",LEN(RSA!C45)=0),"",O69)</f>
        <v>231</v>
      </c>
      <c r="N70" s="1">
        <f>IF(OR(RSA!$C$12&lt;&gt;"Ready",LEN(RSA!C45)=0),"",IF(L70=1,K70,1))</f>
        <v>100</v>
      </c>
      <c r="O70" s="1">
        <f>IF(OR(RSA!$C$12&lt;&gt;"Ready",LEN(RSA!C45)=0),"",MOD(M70*N70,RSA!$C$16))</f>
        <v>181</v>
      </c>
    </row>
    <row r="71" spans="1:15" ht="21.95" customHeight="1">
      <c r="A71" s="1">
        <v>8</v>
      </c>
      <c r="B71" s="1">
        <f>IF(OR(RSA!$C$12&lt;&gt;"Ready",LEN(RSA!C45)=0),"",INT(B70/2))</f>
        <v>0</v>
      </c>
      <c r="C71" s="1">
        <f>IF(OR(RSA!$C$12&lt;&gt;"Ready",LEN(RSA!C45)=0),"",MOD(C70*C70,RSA!$C$16))</f>
        <v>510</v>
      </c>
      <c r="D71" s="1">
        <f>IF(OR(RSA!$C$12&lt;&gt;"Ready",LEN(RSA!C45)=0),"",MOD(B71,2))</f>
        <v>0</v>
      </c>
      <c r="E71" s="1">
        <f>IF(OR(RSA!$C$12&lt;&gt;"Ready",LEN(RSA!C45)=0),"",G70)</f>
        <v>212</v>
      </c>
      <c r="F71" s="1">
        <f>IF(OR(RSA!$C$12&lt;&gt;"Ready",LEN(RSA!C45)=0),"",IF(D71=1,C71,1))</f>
        <v>1</v>
      </c>
      <c r="G71" s="1">
        <f>IF(OR(RSA!$C$12&lt;&gt;"Ready",LEN(RSA!C45)=0),"",MOD(E71*F71,RSA!$C$16))</f>
        <v>212</v>
      </c>
      <c r="H71" s="1"/>
      <c r="I71" s="1">
        <v>8</v>
      </c>
      <c r="J71" s="1">
        <f>IF(OR(RSA!$C$12&lt;&gt;"Ready",LEN(RSA!C45)=0),"",INT(J70/2))</f>
        <v>2</v>
      </c>
      <c r="K71" s="1">
        <f>IF(OR(RSA!$C$12&lt;&gt;"Ready",LEN(RSA!C45)=0),"",MOD(K70*K70,RSA!$C$16))</f>
        <v>406</v>
      </c>
      <c r="L71" s="1">
        <f>IF(OR(RSA!$C$12&lt;&gt;"Ready",LEN(RSA!C45)=0),"",MOD(J71,2))</f>
        <v>0</v>
      </c>
      <c r="M71" s="1">
        <f>IF(OR(RSA!$C$12&lt;&gt;"Ready",LEN(RSA!C45)=0),"",O70)</f>
        <v>181</v>
      </c>
      <c r="N71" s="1">
        <f>IF(OR(RSA!$C$12&lt;&gt;"Ready",LEN(RSA!C45)=0),"",IF(L71=1,K71,1))</f>
        <v>1</v>
      </c>
      <c r="O71" s="1">
        <f>IF(OR(RSA!$C$12&lt;&gt;"Ready",LEN(RSA!C45)=0),"",MOD(M71*N71,RSA!$C$16))</f>
        <v>181</v>
      </c>
    </row>
    <row r="72" spans="1:15" ht="21.95" customHeight="1">
      <c r="A72" s="1">
        <v>9</v>
      </c>
      <c r="B72" s="1">
        <f>IF(OR(RSA!$C$12&lt;&gt;"Ready",LEN(RSA!C45)=0),"",INT(B71/2))</f>
        <v>0</v>
      </c>
      <c r="C72" s="1">
        <f>IF(OR(RSA!$C$12&lt;&gt;"Ready",LEN(RSA!C45)=0),"",MOD(C71*C71,RSA!$C$16))</f>
        <v>529</v>
      </c>
      <c r="D72" s="1">
        <f>IF(OR(RSA!$C$12&lt;&gt;"Ready",LEN(RSA!C45)=0),"",MOD(B72,2))</f>
        <v>0</v>
      </c>
      <c r="E72" s="1">
        <f>IF(OR(RSA!$C$12&lt;&gt;"Ready",LEN(RSA!C45)=0),"",G71)</f>
        <v>212</v>
      </c>
      <c r="F72" s="1">
        <f>IF(OR(RSA!$C$12&lt;&gt;"Ready",LEN(RSA!C45)=0),"",IF(D72=1,C72,1))</f>
        <v>1</v>
      </c>
      <c r="G72" s="1">
        <f>IF(OR(RSA!$C$12&lt;&gt;"Ready",LEN(RSA!C45)=0),"",MOD(E72*F72,RSA!$C$16))</f>
        <v>212</v>
      </c>
      <c r="H72" s="1"/>
      <c r="I72" s="1">
        <v>9</v>
      </c>
      <c r="J72" s="1">
        <f>IF(OR(RSA!$C$12&lt;&gt;"Ready",LEN(RSA!C45)=0),"",INT(J71/2))</f>
        <v>1</v>
      </c>
      <c r="K72" s="1">
        <f>IF(OR(RSA!$C$12&lt;&gt;"Ready",LEN(RSA!C45)=0),"",MOD(K71*K71,RSA!$C$16))</f>
        <v>139</v>
      </c>
      <c r="L72" s="1">
        <f>IF(OR(RSA!$C$12&lt;&gt;"Ready",LEN(RSA!C45)=0),"",MOD(J72,2))</f>
        <v>1</v>
      </c>
      <c r="M72" s="1">
        <f>IF(OR(RSA!$C$12&lt;&gt;"Ready",LEN(RSA!C45)=0),"",O71)</f>
        <v>181</v>
      </c>
      <c r="N72" s="1">
        <f>IF(OR(RSA!$C$12&lt;&gt;"Ready",LEN(RSA!C45)=0),"",IF(L72=1,K72,1))</f>
        <v>139</v>
      </c>
      <c r="O72" s="1">
        <f>IF(OR(RSA!$C$12&lt;&gt;"Ready",LEN(RSA!C45)=0),"",MOD(M72*N72,RSA!$C$16))</f>
        <v>108</v>
      </c>
    </row>
    <row r="73" spans="1:15" ht="21.95" customHeight="1">
      <c r="A73" s="1">
        <v>10</v>
      </c>
      <c r="B73" s="1">
        <f>IF(OR(RSA!$C$12&lt;&gt;"Ready",LEN(RSA!C45)=0),"",INT(B72/2))</f>
        <v>0</v>
      </c>
      <c r="C73" s="1">
        <f>IF(OR(RSA!$C$12&lt;&gt;"Ready",LEN(RSA!C45)=0),"",MOD(C72*C72,RSA!$C$16))</f>
        <v>16</v>
      </c>
      <c r="D73" s="1">
        <f>IF(OR(RSA!$C$12&lt;&gt;"Ready",LEN(RSA!C45)=0),"",MOD(B73,2))</f>
        <v>0</v>
      </c>
      <c r="E73" s="1">
        <f>IF(OR(RSA!$C$12&lt;&gt;"Ready",LEN(RSA!C45)=0),"",G72)</f>
        <v>212</v>
      </c>
      <c r="F73" s="1">
        <f>IF(OR(RSA!$C$12&lt;&gt;"Ready",LEN(RSA!C45)=0),"",IF(D73=1,C73,1))</f>
        <v>1</v>
      </c>
      <c r="G73" s="1">
        <f>IF(OR(RSA!$C$12&lt;&gt;"Ready",LEN(RSA!C45)=0),"",MOD(E73*F73,RSA!$C$16))</f>
        <v>212</v>
      </c>
      <c r="H73" s="1"/>
      <c r="I73" s="1">
        <v>10</v>
      </c>
      <c r="J73" s="1">
        <f>IF(OR(RSA!$C$12&lt;&gt;"Ready",LEN(RSA!C45)=0),"",INT(J72/2))</f>
        <v>0</v>
      </c>
      <c r="K73" s="1">
        <f>IF(OR(RSA!$C$12&lt;&gt;"Ready",LEN(RSA!C45)=0),"",MOD(K72*K72,RSA!$C$16))</f>
        <v>133</v>
      </c>
      <c r="L73" s="1">
        <f>IF(OR(RSA!$C$12&lt;&gt;"Ready",LEN(RSA!C45)=0),"",MOD(J73,2))</f>
        <v>0</v>
      </c>
      <c r="M73" s="1">
        <f>IF(OR(RSA!$C$12&lt;&gt;"Ready",LEN(RSA!C45)=0),"",O72)</f>
        <v>108</v>
      </c>
      <c r="N73" s="1">
        <f>IF(OR(RSA!$C$12&lt;&gt;"Ready",LEN(RSA!C45)=0),"",IF(L73=1,K73,1))</f>
        <v>1</v>
      </c>
      <c r="O73" s="1">
        <f>IF(OR(RSA!$C$12&lt;&gt;"Ready",LEN(RSA!C45)=0),"",MOD(M73*N73,RSA!$C$16))</f>
        <v>108</v>
      </c>
    </row>
    <row r="74" spans="1:15" ht="21.95" customHeight="1">
      <c r="A74" s="1">
        <v>11</v>
      </c>
      <c r="B74" s="1">
        <f>IF(OR(RSA!$C$12&lt;&gt;"Ready",LEN(RSA!C45)=0),"",INT(B73/2))</f>
        <v>0</v>
      </c>
      <c r="C74" s="1">
        <f>IF(OR(RSA!$C$12&lt;&gt;"Ready",LEN(RSA!C45)=0),"",MOD(C73*C73,RSA!$C$16))</f>
        <v>256</v>
      </c>
      <c r="D74" s="1">
        <f>IF(OR(RSA!$C$12&lt;&gt;"Ready",LEN(RSA!C45)=0),"",MOD(B74,2))</f>
        <v>0</v>
      </c>
      <c r="E74" s="1">
        <f>IF(OR(RSA!$C$12&lt;&gt;"Ready",LEN(RSA!C45)=0),"",G73)</f>
        <v>212</v>
      </c>
      <c r="F74" s="1">
        <f>IF(OR(RSA!$C$12&lt;&gt;"Ready",LEN(RSA!C45)=0),"",IF(D74=1,C74,1))</f>
        <v>1</v>
      </c>
      <c r="G74" s="1">
        <f>IF(OR(RSA!$C$12&lt;&gt;"Ready",LEN(RSA!C45)=0),"",MOD(E74*F74,RSA!$C$16))</f>
        <v>212</v>
      </c>
      <c r="H74" s="1"/>
      <c r="I74" s="1">
        <v>11</v>
      </c>
      <c r="J74" s="1">
        <f>IF(OR(RSA!$C$12&lt;&gt;"Ready",LEN(RSA!C45)=0),"",INT(J73/2))</f>
        <v>0</v>
      </c>
      <c r="K74" s="1">
        <f>IF(OR(RSA!$C$12&lt;&gt;"Ready",LEN(RSA!C45)=0),"",MOD(K73*K73,RSA!$C$16))</f>
        <v>100</v>
      </c>
      <c r="L74" s="1">
        <f>IF(OR(RSA!$C$12&lt;&gt;"Ready",LEN(RSA!C45)=0),"",MOD(J74,2))</f>
        <v>0</v>
      </c>
      <c r="M74" s="1">
        <f>IF(OR(RSA!$C$12&lt;&gt;"Ready",LEN(RSA!C45)=0),"",O73)</f>
        <v>108</v>
      </c>
      <c r="N74" s="1">
        <f>IF(OR(RSA!$C$12&lt;&gt;"Ready",LEN(RSA!C45)=0),"",IF(L74=1,K74,1))</f>
        <v>1</v>
      </c>
      <c r="O74" s="1">
        <f>IF(OR(RSA!$C$12&lt;&gt;"Ready",LEN(RSA!C45)=0),"",MOD(M74*N74,RSA!$C$16))</f>
        <v>108</v>
      </c>
    </row>
    <row r="75" spans="1:15" ht="21.95" customHeight="1">
      <c r="A75" s="1">
        <v>12</v>
      </c>
      <c r="B75" s="1">
        <f>IF(OR(RSA!$C$12&lt;&gt;"Ready",LEN(RSA!C45)=0),"",INT(B74/2))</f>
        <v>0</v>
      </c>
      <c r="C75" s="1">
        <f>IF(OR(RSA!$C$12&lt;&gt;"Ready",LEN(RSA!C45)=0),"",MOD(C74*C74,RSA!$C$16))</f>
        <v>510</v>
      </c>
      <c r="D75" s="1">
        <f>IF(OR(RSA!$C$12&lt;&gt;"Ready",LEN(RSA!C45)=0),"",MOD(B75,2))</f>
        <v>0</v>
      </c>
      <c r="E75" s="1">
        <f>IF(OR(RSA!$C$12&lt;&gt;"Ready",LEN(RSA!C45)=0),"",G74)</f>
        <v>212</v>
      </c>
      <c r="F75" s="1">
        <f>IF(OR(RSA!$C$12&lt;&gt;"Ready",LEN(RSA!C45)=0),"",IF(D75=1,C75,1))</f>
        <v>1</v>
      </c>
      <c r="G75" s="1">
        <f>IF(OR(RSA!$C$12&lt;&gt;"Ready",LEN(RSA!C45)=0),"",MOD(E75*F75,RSA!$C$16))</f>
        <v>212</v>
      </c>
      <c r="H75" s="1"/>
      <c r="I75" s="1">
        <v>12</v>
      </c>
      <c r="J75" s="1">
        <f>IF(OR(RSA!$C$12&lt;&gt;"Ready",LEN(RSA!C45)=0),"",INT(J74/2))</f>
        <v>0</v>
      </c>
      <c r="K75" s="1">
        <f>IF(OR(RSA!$C$12&lt;&gt;"Ready",LEN(RSA!C45)=0),"",MOD(K74*K74,RSA!$C$16))</f>
        <v>406</v>
      </c>
      <c r="L75" s="1">
        <f>IF(OR(RSA!$C$12&lt;&gt;"Ready",LEN(RSA!C45)=0),"",MOD(J75,2))</f>
        <v>0</v>
      </c>
      <c r="M75" s="1">
        <f>IF(OR(RSA!$C$12&lt;&gt;"Ready",LEN(RSA!C45)=0),"",O74)</f>
        <v>108</v>
      </c>
      <c r="N75" s="1">
        <f>IF(OR(RSA!$C$12&lt;&gt;"Ready",LEN(RSA!C45)=0),"",IF(L75=1,K75,1))</f>
        <v>1</v>
      </c>
      <c r="O75" s="1">
        <f>IF(OR(RSA!$C$12&lt;&gt;"Ready",LEN(RSA!C45)=0),"",MOD(M75*N75,RSA!$C$16))</f>
        <v>108</v>
      </c>
    </row>
    <row r="76" spans="1:15" ht="21.95" customHeight="1">
      <c r="A76" s="1">
        <v>13</v>
      </c>
      <c r="B76" s="1">
        <f>IF(OR(RSA!$C$12&lt;&gt;"Ready",LEN(RSA!C45)=0),"",INT(B75/2))</f>
        <v>0</v>
      </c>
      <c r="C76" s="1">
        <f>IF(OR(RSA!$C$12&lt;&gt;"Ready",LEN(RSA!C45)=0),"",MOD(C75*C75,RSA!$C$16))</f>
        <v>529</v>
      </c>
      <c r="D76" s="1">
        <f>IF(OR(RSA!$C$12&lt;&gt;"Ready",LEN(RSA!C45)=0),"",MOD(B76,2))</f>
        <v>0</v>
      </c>
      <c r="E76" s="1">
        <f>IF(OR(RSA!$C$12&lt;&gt;"Ready",LEN(RSA!C45)=0),"",G75)</f>
        <v>212</v>
      </c>
      <c r="F76" s="1">
        <f>IF(OR(RSA!$C$12&lt;&gt;"Ready",LEN(RSA!C45)=0),"",IF(D76=1,C76,1))</f>
        <v>1</v>
      </c>
      <c r="G76" s="1">
        <f>IF(OR(RSA!$C$12&lt;&gt;"Ready",LEN(RSA!C45)=0),"",MOD(E76*F76,RSA!$C$16))</f>
        <v>212</v>
      </c>
      <c r="H76" s="1"/>
      <c r="I76" s="1">
        <v>13</v>
      </c>
      <c r="J76" s="1">
        <f>IF(OR(RSA!$C$12&lt;&gt;"Ready",LEN(RSA!C45)=0),"",INT(J75/2))</f>
        <v>0</v>
      </c>
      <c r="K76" s="1">
        <f>IF(OR(RSA!$C$12&lt;&gt;"Ready",LEN(RSA!C45)=0),"",MOD(K75*K75,RSA!$C$16))</f>
        <v>139</v>
      </c>
      <c r="L76" s="1">
        <f>IF(OR(RSA!$C$12&lt;&gt;"Ready",LEN(RSA!C45)=0),"",MOD(J76,2))</f>
        <v>0</v>
      </c>
      <c r="M76" s="1">
        <f>IF(OR(RSA!$C$12&lt;&gt;"Ready",LEN(RSA!C45)=0),"",O75)</f>
        <v>108</v>
      </c>
      <c r="N76" s="1">
        <f>IF(OR(RSA!$C$12&lt;&gt;"Ready",LEN(RSA!C45)=0),"",IF(L76=1,K76,1))</f>
        <v>1</v>
      </c>
      <c r="O76" s="1">
        <f>IF(OR(RSA!$C$12&lt;&gt;"Ready",LEN(RSA!C45)=0),"",MOD(M76*N76,RSA!$C$16))</f>
        <v>108</v>
      </c>
    </row>
    <row r="77" spans="1:15" ht="21.95" customHeight="1">
      <c r="A77" s="1">
        <v>14</v>
      </c>
      <c r="B77" s="1">
        <f>IF(OR(RSA!$C$12&lt;&gt;"Ready",LEN(RSA!C45)=0),"",INT(B76/2))</f>
        <v>0</v>
      </c>
      <c r="C77" s="1">
        <f>IF(OR(RSA!$C$12&lt;&gt;"Ready",LEN(RSA!C45)=0),"",MOD(C76*C76,RSA!$C$16))</f>
        <v>16</v>
      </c>
      <c r="D77" s="1">
        <f>IF(OR(RSA!$C$12&lt;&gt;"Ready",LEN(RSA!C45)=0),"",MOD(B77,2))</f>
        <v>0</v>
      </c>
      <c r="E77" s="1">
        <f>IF(OR(RSA!$C$12&lt;&gt;"Ready",LEN(RSA!C45)=0),"",G76)</f>
        <v>212</v>
      </c>
      <c r="F77" s="1">
        <f>IF(OR(RSA!$C$12&lt;&gt;"Ready",LEN(RSA!C45)=0),"",IF(D77=1,C77,1))</f>
        <v>1</v>
      </c>
      <c r="G77" s="12">
        <f>IF(OR(RSA!$C$12&lt;&gt;"Ready",LEN(RSA!C45)=0),"",MOD(E77*F77,RSA!$C$16))</f>
        <v>212</v>
      </c>
      <c r="H77" s="1"/>
      <c r="I77" s="1">
        <v>14</v>
      </c>
      <c r="J77" s="1">
        <f>IF(OR(RSA!$C$12&lt;&gt;"Ready",LEN(RSA!C45)=0),"",INT(J76/2))</f>
        <v>0</v>
      </c>
      <c r="K77" s="1">
        <f>IF(OR(RSA!$C$12&lt;&gt;"Ready",LEN(RSA!C45)=0),"",MOD(K76*K76,RSA!$C$16))</f>
        <v>133</v>
      </c>
      <c r="L77" s="1">
        <f>IF(OR(RSA!$C$12&lt;&gt;"Ready",LEN(RSA!C45)=0),"",MOD(J77,2))</f>
        <v>0</v>
      </c>
      <c r="M77" s="1">
        <f>IF(OR(RSA!$C$12&lt;&gt;"Ready",LEN(RSA!C45)=0),"",O76)</f>
        <v>108</v>
      </c>
      <c r="N77" s="1">
        <f>IF(OR(RSA!$C$12&lt;&gt;"Ready",LEN(RSA!C45)=0),"",IF(L77=1,K77,1))</f>
        <v>1</v>
      </c>
      <c r="O77" s="12">
        <f>IF(OR(RSA!$C$12&lt;&gt;"Ready",LEN(RSA!C45)=0),"",MOD(M77*N77,RSA!$C$16))</f>
        <v>108</v>
      </c>
    </row>
    <row r="78" spans="1:15" ht="21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21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21.95" customHeight="1">
      <c r="A80" s="1" t="s">
        <v>90</v>
      </c>
      <c r="B80" s="1"/>
      <c r="C80" s="1"/>
      <c r="D80" s="1"/>
      <c r="E80" s="1"/>
      <c r="F80" s="1"/>
      <c r="G80" s="1"/>
      <c r="H80" s="1"/>
      <c r="I80" s="1" t="s">
        <v>91</v>
      </c>
      <c r="J80" s="1"/>
      <c r="K80" s="1"/>
      <c r="L80" s="1"/>
      <c r="M80" s="1"/>
      <c r="N80" s="1"/>
      <c r="O80" s="1"/>
    </row>
    <row r="81" spans="1:15" ht="32.1" customHeight="1">
      <c r="A81" s="4" t="s">
        <v>77</v>
      </c>
      <c r="B81" s="4" t="s">
        <v>78</v>
      </c>
      <c r="C81" s="4" t="s">
        <v>79</v>
      </c>
      <c r="D81" s="4" t="s">
        <v>80</v>
      </c>
      <c r="E81" s="4" t="s">
        <v>81</v>
      </c>
      <c r="F81" s="4" t="s">
        <v>82</v>
      </c>
      <c r="G81" s="4" t="s">
        <v>83</v>
      </c>
      <c r="H81" s="1"/>
      <c r="I81" s="4" t="s">
        <v>77</v>
      </c>
      <c r="J81" s="4" t="s">
        <v>78</v>
      </c>
      <c r="K81" s="4" t="s">
        <v>79</v>
      </c>
      <c r="L81" s="4" t="s">
        <v>80</v>
      </c>
      <c r="M81" s="4" t="s">
        <v>81</v>
      </c>
      <c r="N81" s="4" t="s">
        <v>82</v>
      </c>
      <c r="O81" s="4" t="s">
        <v>83</v>
      </c>
    </row>
    <row r="82" spans="1:15" ht="21.95" customHeight="1">
      <c r="A82" s="1">
        <v>1</v>
      </c>
      <c r="B82" s="1">
        <f>IF(OR(RSA!$C$12&lt;&gt;"Ready",LEN(RSA!C46)=0),"",RSA!$C$18)</f>
        <v>7</v>
      </c>
      <c r="C82" s="1">
        <f>IF(OR(RSA!$C$12&lt;&gt;"Ready",LEN(RSA!C46)=0),"",RSA!D46)</f>
        <v>111</v>
      </c>
      <c r="D82" s="1">
        <f>IF(OR(RSA!$C$12&lt;&gt;"Ready",LEN(RSA!C46)=0),"",MOD(B82,2))</f>
        <v>1</v>
      </c>
      <c r="E82" s="1">
        <f>IF(OR(RSA!$C$12&lt;&gt;"Ready",LEN(RSA!C46)=0),"",1)</f>
        <v>1</v>
      </c>
      <c r="F82" s="1">
        <f>IF(OR(RSA!$C$12&lt;&gt;"Ready",LEN(RSA!C46)=0),"",IF(D82=1,C82,1))</f>
        <v>111</v>
      </c>
      <c r="G82" s="1">
        <f>IF(OR(RSA!$C$12&lt;&gt;"Ready",LEN(RSA!C46)=0),"",MOD(E82*F82,RSA!$C$16))</f>
        <v>111</v>
      </c>
      <c r="H82" s="1"/>
      <c r="I82" s="1">
        <v>1</v>
      </c>
      <c r="J82" s="1">
        <f>IF(OR(RSA!$C$12&lt;&gt;"Ready",LEN(RSA!C46)=0),"",RSA!$C$19)</f>
        <v>343</v>
      </c>
      <c r="K82" s="1">
        <f>IF(OR(RSA!$C$12&lt;&gt;"Ready",LEN(RSA!C46)=0),"",RSA!F46)</f>
        <v>19</v>
      </c>
      <c r="L82" s="1">
        <f>IF(OR(RSA!$C$12&lt;&gt;"Ready",LEN(RSA!C46)=0),"",MOD(J82,2))</f>
        <v>1</v>
      </c>
      <c r="M82" s="1">
        <f>IF(OR(RSA!$C$12&lt;&gt;"Ready",LEN(RSA!C46)=0),"",1)</f>
        <v>1</v>
      </c>
      <c r="N82" s="1">
        <f>IF(OR(RSA!$C$12&lt;&gt;"Ready",LEN(RSA!C46)=0),"",IF(L82=1,K82,1))</f>
        <v>19</v>
      </c>
      <c r="O82" s="1">
        <f>IF(OR(RSA!$C$12&lt;&gt;"Ready",LEN(RSA!C46)=0),"",MOD(M82*N82,RSA!$C$16))</f>
        <v>19</v>
      </c>
    </row>
    <row r="83" spans="1:15" ht="21.95" customHeight="1">
      <c r="A83" s="1">
        <v>2</v>
      </c>
      <c r="B83" s="1">
        <f>IF(OR(RSA!$C$12&lt;&gt;"Ready",LEN(RSA!C46)=0),"",INT(B82/2))</f>
        <v>3</v>
      </c>
      <c r="C83" s="1">
        <f>IF(OR(RSA!$C$12&lt;&gt;"Ready",LEN(RSA!C46)=0),"",MOD(C82*C82,RSA!$C$16))</f>
        <v>62</v>
      </c>
      <c r="D83" s="1">
        <f>IF(OR(RSA!$C$12&lt;&gt;"Ready",LEN(RSA!C46)=0),"",MOD(B83,2))</f>
        <v>1</v>
      </c>
      <c r="E83" s="1">
        <f>IF(OR(RSA!$C$12&lt;&gt;"Ready",LEN(RSA!C46)=0),"",G82)</f>
        <v>111</v>
      </c>
      <c r="F83" s="1">
        <f>IF(OR(RSA!$C$12&lt;&gt;"Ready",LEN(RSA!C46)=0),"",IF(D83=1,C83,1))</f>
        <v>62</v>
      </c>
      <c r="G83" s="1">
        <f>IF(OR(RSA!$C$12&lt;&gt;"Ready",LEN(RSA!C46)=0),"",MOD(E83*F83,RSA!$C$16))</f>
        <v>486</v>
      </c>
      <c r="H83" s="1"/>
      <c r="I83" s="1">
        <v>2</v>
      </c>
      <c r="J83" s="1">
        <f>IF(OR(RSA!$C$12&lt;&gt;"Ready",LEN(RSA!C46)=0),"",INT(J82/2))</f>
        <v>171</v>
      </c>
      <c r="K83" s="1">
        <f>IF(OR(RSA!$C$12&lt;&gt;"Ready",LEN(RSA!C46)=0),"",MOD(K82*K82,RSA!$C$16))</f>
        <v>361</v>
      </c>
      <c r="L83" s="1">
        <f>IF(OR(RSA!$C$12&lt;&gt;"Ready",LEN(RSA!C46)=0),"",MOD(J83,2))</f>
        <v>1</v>
      </c>
      <c r="M83" s="1">
        <f>IF(OR(RSA!$C$12&lt;&gt;"Ready",LEN(RSA!C46)=0),"",O82)</f>
        <v>19</v>
      </c>
      <c r="N83" s="1">
        <f>IF(OR(RSA!$C$12&lt;&gt;"Ready",LEN(RSA!C46)=0),"",IF(L83=1,K83,1))</f>
        <v>361</v>
      </c>
      <c r="O83" s="1">
        <f>IF(OR(RSA!$C$12&lt;&gt;"Ready",LEN(RSA!C46)=0),"",MOD(M83*N83,RSA!$C$16))</f>
        <v>463</v>
      </c>
    </row>
    <row r="84" spans="1:15" ht="21.95" customHeight="1">
      <c r="A84" s="1">
        <v>3</v>
      </c>
      <c r="B84" s="1">
        <f>IF(OR(RSA!$C$12&lt;&gt;"Ready",LEN(RSA!C46)=0),"",INT(B83/2))</f>
        <v>1</v>
      </c>
      <c r="C84" s="1">
        <f>IF(OR(RSA!$C$12&lt;&gt;"Ready",LEN(RSA!C46)=0),"",MOD(C83*C83,RSA!$C$16))</f>
        <v>113</v>
      </c>
      <c r="D84" s="1">
        <f>IF(OR(RSA!$C$12&lt;&gt;"Ready",LEN(RSA!C46)=0),"",MOD(B84,2))</f>
        <v>1</v>
      </c>
      <c r="E84" s="1">
        <f>IF(OR(RSA!$C$12&lt;&gt;"Ready",LEN(RSA!C46)=0),"",G83)</f>
        <v>486</v>
      </c>
      <c r="F84" s="1">
        <f>IF(OR(RSA!$C$12&lt;&gt;"Ready",LEN(RSA!C46)=0),"",IF(D84=1,C84,1))</f>
        <v>113</v>
      </c>
      <c r="G84" s="1">
        <f>IF(OR(RSA!$C$12&lt;&gt;"Ready",LEN(RSA!C46)=0),"",MOD(E84*F84,RSA!$C$16))</f>
        <v>19</v>
      </c>
      <c r="H84" s="1"/>
      <c r="I84" s="1">
        <v>3</v>
      </c>
      <c r="J84" s="1">
        <f>IF(OR(RSA!$C$12&lt;&gt;"Ready",LEN(RSA!C46)=0),"",INT(J83/2))</f>
        <v>85</v>
      </c>
      <c r="K84" s="1">
        <f>IF(OR(RSA!$C$12&lt;&gt;"Ready",LEN(RSA!C46)=0),"",MOD(K83*K83,RSA!$C$16))</f>
        <v>269</v>
      </c>
      <c r="L84" s="1">
        <f>IF(OR(RSA!$C$12&lt;&gt;"Ready",LEN(RSA!C46)=0),"",MOD(J84,2))</f>
        <v>1</v>
      </c>
      <c r="M84" s="1">
        <f>IF(OR(RSA!$C$12&lt;&gt;"Ready",LEN(RSA!C46)=0),"",O83)</f>
        <v>463</v>
      </c>
      <c r="N84" s="1">
        <f>IF(OR(RSA!$C$12&lt;&gt;"Ready",LEN(RSA!C46)=0),"",IF(L84=1,K84,1))</f>
        <v>269</v>
      </c>
      <c r="O84" s="1">
        <f>IF(OR(RSA!$C$12&lt;&gt;"Ready",LEN(RSA!C46)=0),"",MOD(M84*N84,RSA!$C$16))</f>
        <v>358</v>
      </c>
    </row>
    <row r="85" spans="1:15" ht="21.95" customHeight="1">
      <c r="A85" s="1">
        <v>4</v>
      </c>
      <c r="B85" s="1">
        <f>IF(OR(RSA!$C$12&lt;&gt;"Ready",LEN(RSA!C46)=0),"",INT(B84/2))</f>
        <v>0</v>
      </c>
      <c r="C85" s="1">
        <f>IF(OR(RSA!$C$12&lt;&gt;"Ready",LEN(RSA!C46)=0),"",MOD(C84*C84,RSA!$C$16))</f>
        <v>510</v>
      </c>
      <c r="D85" s="1">
        <f>IF(OR(RSA!$C$12&lt;&gt;"Ready",LEN(RSA!C46)=0),"",MOD(B85,2))</f>
        <v>0</v>
      </c>
      <c r="E85" s="1">
        <f>IF(OR(RSA!$C$12&lt;&gt;"Ready",LEN(RSA!C46)=0),"",G84)</f>
        <v>19</v>
      </c>
      <c r="F85" s="1">
        <f>IF(OR(RSA!$C$12&lt;&gt;"Ready",LEN(RSA!C46)=0),"",IF(D85=1,C85,1))</f>
        <v>1</v>
      </c>
      <c r="G85" s="1">
        <f>IF(OR(RSA!$C$12&lt;&gt;"Ready",LEN(RSA!C46)=0),"",MOD(E85*F85,RSA!$C$16))</f>
        <v>19</v>
      </c>
      <c r="H85" s="1"/>
      <c r="I85" s="1">
        <v>4</v>
      </c>
      <c r="J85" s="1">
        <f>IF(OR(RSA!$C$12&lt;&gt;"Ready",LEN(RSA!C46)=0),"",INT(J84/2))</f>
        <v>42</v>
      </c>
      <c r="K85" s="1">
        <f>IF(OR(RSA!$C$12&lt;&gt;"Ready",LEN(RSA!C46)=0),"",MOD(K84*K84,RSA!$C$16))</f>
        <v>406</v>
      </c>
      <c r="L85" s="1">
        <f>IF(OR(RSA!$C$12&lt;&gt;"Ready",LEN(RSA!C46)=0),"",MOD(J85,2))</f>
        <v>0</v>
      </c>
      <c r="M85" s="1">
        <f>IF(OR(RSA!$C$12&lt;&gt;"Ready",LEN(RSA!C46)=0),"",O84)</f>
        <v>358</v>
      </c>
      <c r="N85" s="1">
        <f>IF(OR(RSA!$C$12&lt;&gt;"Ready",LEN(RSA!C46)=0),"",IF(L85=1,K85,1))</f>
        <v>1</v>
      </c>
      <c r="O85" s="1">
        <f>IF(OR(RSA!$C$12&lt;&gt;"Ready",LEN(RSA!C46)=0),"",MOD(M85*N85,RSA!$C$16))</f>
        <v>358</v>
      </c>
    </row>
    <row r="86" spans="1:15" ht="21.95" customHeight="1">
      <c r="A86" s="1">
        <v>5</v>
      </c>
      <c r="B86" s="1">
        <f>IF(OR(RSA!$C$12&lt;&gt;"Ready",LEN(RSA!C46)=0),"",INT(B85/2))</f>
        <v>0</v>
      </c>
      <c r="C86" s="1">
        <f>IF(OR(RSA!$C$12&lt;&gt;"Ready",LEN(RSA!C46)=0),"",MOD(C85*C85,RSA!$C$16))</f>
        <v>529</v>
      </c>
      <c r="D86" s="1">
        <f>IF(OR(RSA!$C$12&lt;&gt;"Ready",LEN(RSA!C46)=0),"",MOD(B86,2))</f>
        <v>0</v>
      </c>
      <c r="E86" s="1">
        <f>IF(OR(RSA!$C$12&lt;&gt;"Ready",LEN(RSA!C46)=0),"",G85)</f>
        <v>19</v>
      </c>
      <c r="F86" s="1">
        <f>IF(OR(RSA!$C$12&lt;&gt;"Ready",LEN(RSA!C46)=0),"",IF(D86=1,C86,1))</f>
        <v>1</v>
      </c>
      <c r="G86" s="1">
        <f>IF(OR(RSA!$C$12&lt;&gt;"Ready",LEN(RSA!C46)=0),"",MOD(E86*F86,RSA!$C$16))</f>
        <v>19</v>
      </c>
      <c r="H86" s="1"/>
      <c r="I86" s="1">
        <v>5</v>
      </c>
      <c r="J86" s="1">
        <f>IF(OR(RSA!$C$12&lt;&gt;"Ready",LEN(RSA!C46)=0),"",INT(J85/2))</f>
        <v>21</v>
      </c>
      <c r="K86" s="1">
        <f>IF(OR(RSA!$C$12&lt;&gt;"Ready",LEN(RSA!C46)=0),"",MOD(K85*K85,RSA!$C$16))</f>
        <v>139</v>
      </c>
      <c r="L86" s="1">
        <f>IF(OR(RSA!$C$12&lt;&gt;"Ready",LEN(RSA!C46)=0),"",MOD(J86,2))</f>
        <v>1</v>
      </c>
      <c r="M86" s="1">
        <f>IF(OR(RSA!$C$12&lt;&gt;"Ready",LEN(RSA!C46)=0),"",O85)</f>
        <v>358</v>
      </c>
      <c r="N86" s="1">
        <f>IF(OR(RSA!$C$12&lt;&gt;"Ready",LEN(RSA!C46)=0),"",IF(L86=1,K86,1))</f>
        <v>139</v>
      </c>
      <c r="O86" s="1">
        <f>IF(OR(RSA!$C$12&lt;&gt;"Ready",LEN(RSA!C46)=0),"",MOD(M86*N86,RSA!$C$16))</f>
        <v>193</v>
      </c>
    </row>
    <row r="87" spans="1:15" ht="21.95" customHeight="1">
      <c r="A87" s="1">
        <v>6</v>
      </c>
      <c r="B87" s="1">
        <f>IF(OR(RSA!$C$12&lt;&gt;"Ready",LEN(RSA!C46)=0),"",INT(B86/2))</f>
        <v>0</v>
      </c>
      <c r="C87" s="1">
        <f>IF(OR(RSA!$C$12&lt;&gt;"Ready",LEN(RSA!C46)=0),"",MOD(C86*C86,RSA!$C$16))</f>
        <v>16</v>
      </c>
      <c r="D87" s="1">
        <f>IF(OR(RSA!$C$12&lt;&gt;"Ready",LEN(RSA!C46)=0),"",MOD(B87,2))</f>
        <v>0</v>
      </c>
      <c r="E87" s="1">
        <f>IF(OR(RSA!$C$12&lt;&gt;"Ready",LEN(RSA!C46)=0),"",G86)</f>
        <v>19</v>
      </c>
      <c r="F87" s="1">
        <f>IF(OR(RSA!$C$12&lt;&gt;"Ready",LEN(RSA!C46)=0),"",IF(D87=1,C87,1))</f>
        <v>1</v>
      </c>
      <c r="G87" s="1">
        <f>IF(OR(RSA!$C$12&lt;&gt;"Ready",LEN(RSA!C46)=0),"",MOD(E87*F87,RSA!$C$16))</f>
        <v>19</v>
      </c>
      <c r="H87" s="1"/>
      <c r="I87" s="1">
        <v>6</v>
      </c>
      <c r="J87" s="1">
        <f>IF(OR(RSA!$C$12&lt;&gt;"Ready",LEN(RSA!C46)=0),"",INT(J86/2))</f>
        <v>10</v>
      </c>
      <c r="K87" s="1">
        <f>IF(OR(RSA!$C$12&lt;&gt;"Ready",LEN(RSA!C46)=0),"",MOD(K86*K86,RSA!$C$16))</f>
        <v>133</v>
      </c>
      <c r="L87" s="1">
        <f>IF(OR(RSA!$C$12&lt;&gt;"Ready",LEN(RSA!C46)=0),"",MOD(J87,2))</f>
        <v>0</v>
      </c>
      <c r="M87" s="1">
        <f>IF(OR(RSA!$C$12&lt;&gt;"Ready",LEN(RSA!C46)=0),"",O86)</f>
        <v>193</v>
      </c>
      <c r="N87" s="1">
        <f>IF(OR(RSA!$C$12&lt;&gt;"Ready",LEN(RSA!C46)=0),"",IF(L87=1,K87,1))</f>
        <v>1</v>
      </c>
      <c r="O87" s="1">
        <f>IF(OR(RSA!$C$12&lt;&gt;"Ready",LEN(RSA!C46)=0),"",MOD(M87*N87,RSA!$C$16))</f>
        <v>193</v>
      </c>
    </row>
    <row r="88" spans="1:15" ht="21.95" customHeight="1">
      <c r="A88" s="1">
        <v>7</v>
      </c>
      <c r="B88" s="1">
        <f>IF(OR(RSA!$C$12&lt;&gt;"Ready",LEN(RSA!C46)=0),"",INT(B87/2))</f>
        <v>0</v>
      </c>
      <c r="C88" s="1">
        <f>IF(OR(RSA!$C$12&lt;&gt;"Ready",LEN(RSA!C46)=0),"",MOD(C87*C87,RSA!$C$16))</f>
        <v>256</v>
      </c>
      <c r="D88" s="1">
        <f>IF(OR(RSA!$C$12&lt;&gt;"Ready",LEN(RSA!C46)=0),"",MOD(B88,2))</f>
        <v>0</v>
      </c>
      <c r="E88" s="1">
        <f>IF(OR(RSA!$C$12&lt;&gt;"Ready",LEN(RSA!C46)=0),"",G87)</f>
        <v>19</v>
      </c>
      <c r="F88" s="1">
        <f>IF(OR(RSA!$C$12&lt;&gt;"Ready",LEN(RSA!C46)=0),"",IF(D88=1,C88,1))</f>
        <v>1</v>
      </c>
      <c r="G88" s="1">
        <f>IF(OR(RSA!$C$12&lt;&gt;"Ready",LEN(RSA!C46)=0),"",MOD(E88*F88,RSA!$C$16))</f>
        <v>19</v>
      </c>
      <c r="H88" s="1"/>
      <c r="I88" s="1">
        <v>7</v>
      </c>
      <c r="J88" s="1">
        <f>IF(OR(RSA!$C$12&lt;&gt;"Ready",LEN(RSA!C46)=0),"",INT(J87/2))</f>
        <v>5</v>
      </c>
      <c r="K88" s="1">
        <f>IF(OR(RSA!$C$12&lt;&gt;"Ready",LEN(RSA!C46)=0),"",MOD(K87*K87,RSA!$C$16))</f>
        <v>100</v>
      </c>
      <c r="L88" s="1">
        <f>IF(OR(RSA!$C$12&lt;&gt;"Ready",LEN(RSA!C46)=0),"",MOD(J88,2))</f>
        <v>1</v>
      </c>
      <c r="M88" s="1">
        <f>IF(OR(RSA!$C$12&lt;&gt;"Ready",LEN(RSA!C46)=0),"",O87)</f>
        <v>193</v>
      </c>
      <c r="N88" s="1">
        <f>IF(OR(RSA!$C$12&lt;&gt;"Ready",LEN(RSA!C46)=0),"",IF(L88=1,K88,1))</f>
        <v>100</v>
      </c>
      <c r="O88" s="1">
        <f>IF(OR(RSA!$C$12&lt;&gt;"Ready",LEN(RSA!C46)=0),"",MOD(M88*N88,RSA!$C$16))</f>
        <v>112</v>
      </c>
    </row>
    <row r="89" spans="1:15" ht="21.95" customHeight="1">
      <c r="A89" s="1">
        <v>8</v>
      </c>
      <c r="B89" s="1">
        <f>IF(OR(RSA!$C$12&lt;&gt;"Ready",LEN(RSA!C46)=0),"",INT(B88/2))</f>
        <v>0</v>
      </c>
      <c r="C89" s="1">
        <f>IF(OR(RSA!$C$12&lt;&gt;"Ready",LEN(RSA!C46)=0),"",MOD(C88*C88,RSA!$C$16))</f>
        <v>510</v>
      </c>
      <c r="D89" s="1">
        <f>IF(OR(RSA!$C$12&lt;&gt;"Ready",LEN(RSA!C46)=0),"",MOD(B89,2))</f>
        <v>0</v>
      </c>
      <c r="E89" s="1">
        <f>IF(OR(RSA!$C$12&lt;&gt;"Ready",LEN(RSA!C46)=0),"",G88)</f>
        <v>19</v>
      </c>
      <c r="F89" s="1">
        <f>IF(OR(RSA!$C$12&lt;&gt;"Ready",LEN(RSA!C46)=0),"",IF(D89=1,C89,1))</f>
        <v>1</v>
      </c>
      <c r="G89" s="1">
        <f>IF(OR(RSA!$C$12&lt;&gt;"Ready",LEN(RSA!C46)=0),"",MOD(E89*F89,RSA!$C$16))</f>
        <v>19</v>
      </c>
      <c r="H89" s="1"/>
      <c r="I89" s="1">
        <v>8</v>
      </c>
      <c r="J89" s="1">
        <f>IF(OR(RSA!$C$12&lt;&gt;"Ready",LEN(RSA!C46)=0),"",INT(J88/2))</f>
        <v>2</v>
      </c>
      <c r="K89" s="1">
        <f>IF(OR(RSA!$C$12&lt;&gt;"Ready",LEN(RSA!C46)=0),"",MOD(K88*K88,RSA!$C$16))</f>
        <v>406</v>
      </c>
      <c r="L89" s="1">
        <f>IF(OR(RSA!$C$12&lt;&gt;"Ready",LEN(RSA!C46)=0),"",MOD(J89,2))</f>
        <v>0</v>
      </c>
      <c r="M89" s="1">
        <f>IF(OR(RSA!$C$12&lt;&gt;"Ready",LEN(RSA!C46)=0),"",O88)</f>
        <v>112</v>
      </c>
      <c r="N89" s="1">
        <f>IF(OR(RSA!$C$12&lt;&gt;"Ready",LEN(RSA!C46)=0),"",IF(L89=1,K89,1))</f>
        <v>1</v>
      </c>
      <c r="O89" s="1">
        <f>IF(OR(RSA!$C$12&lt;&gt;"Ready",LEN(RSA!C46)=0),"",MOD(M89*N89,RSA!$C$16))</f>
        <v>112</v>
      </c>
    </row>
    <row r="90" spans="1:15" ht="21.95" customHeight="1">
      <c r="A90" s="1">
        <v>9</v>
      </c>
      <c r="B90" s="1">
        <f>IF(OR(RSA!$C$12&lt;&gt;"Ready",LEN(RSA!C46)=0),"",INT(B89/2))</f>
        <v>0</v>
      </c>
      <c r="C90" s="1">
        <f>IF(OR(RSA!$C$12&lt;&gt;"Ready",LEN(RSA!C46)=0),"",MOD(C89*C89,RSA!$C$16))</f>
        <v>529</v>
      </c>
      <c r="D90" s="1">
        <f>IF(OR(RSA!$C$12&lt;&gt;"Ready",LEN(RSA!C46)=0),"",MOD(B90,2))</f>
        <v>0</v>
      </c>
      <c r="E90" s="1">
        <f>IF(OR(RSA!$C$12&lt;&gt;"Ready",LEN(RSA!C46)=0),"",G89)</f>
        <v>19</v>
      </c>
      <c r="F90" s="1">
        <f>IF(OR(RSA!$C$12&lt;&gt;"Ready",LEN(RSA!C46)=0),"",IF(D90=1,C90,1))</f>
        <v>1</v>
      </c>
      <c r="G90" s="1">
        <f>IF(OR(RSA!$C$12&lt;&gt;"Ready",LEN(RSA!C46)=0),"",MOD(E90*F90,RSA!$C$16))</f>
        <v>19</v>
      </c>
      <c r="H90" s="1"/>
      <c r="I90" s="1">
        <v>9</v>
      </c>
      <c r="J90" s="1">
        <f>IF(OR(RSA!$C$12&lt;&gt;"Ready",LEN(RSA!C46)=0),"",INT(J89/2))</f>
        <v>1</v>
      </c>
      <c r="K90" s="1">
        <f>IF(OR(RSA!$C$12&lt;&gt;"Ready",LEN(RSA!C46)=0),"",MOD(K89*K89,RSA!$C$16))</f>
        <v>139</v>
      </c>
      <c r="L90" s="1">
        <f>IF(OR(RSA!$C$12&lt;&gt;"Ready",LEN(RSA!C46)=0),"",MOD(J90,2))</f>
        <v>1</v>
      </c>
      <c r="M90" s="1">
        <f>IF(OR(RSA!$C$12&lt;&gt;"Ready",LEN(RSA!C46)=0),"",O89)</f>
        <v>112</v>
      </c>
      <c r="N90" s="1">
        <f>IF(OR(RSA!$C$12&lt;&gt;"Ready",LEN(RSA!C46)=0),"",IF(L90=1,K90,1))</f>
        <v>139</v>
      </c>
      <c r="O90" s="1">
        <f>IF(OR(RSA!$C$12&lt;&gt;"Ready",LEN(RSA!C46)=0),"",MOD(M90*N90,RSA!$C$16))</f>
        <v>111</v>
      </c>
    </row>
    <row r="91" spans="1:15" ht="21.95" customHeight="1">
      <c r="A91" s="1">
        <v>10</v>
      </c>
      <c r="B91" s="1">
        <f>IF(OR(RSA!$C$12&lt;&gt;"Ready",LEN(RSA!C46)=0),"",INT(B90/2))</f>
        <v>0</v>
      </c>
      <c r="C91" s="1">
        <f>IF(OR(RSA!$C$12&lt;&gt;"Ready",LEN(RSA!C46)=0),"",MOD(C90*C90,RSA!$C$16))</f>
        <v>16</v>
      </c>
      <c r="D91" s="1">
        <f>IF(OR(RSA!$C$12&lt;&gt;"Ready",LEN(RSA!C46)=0),"",MOD(B91,2))</f>
        <v>0</v>
      </c>
      <c r="E91" s="1">
        <f>IF(OR(RSA!$C$12&lt;&gt;"Ready",LEN(RSA!C46)=0),"",G90)</f>
        <v>19</v>
      </c>
      <c r="F91" s="1">
        <f>IF(OR(RSA!$C$12&lt;&gt;"Ready",LEN(RSA!C46)=0),"",IF(D91=1,C91,1))</f>
        <v>1</v>
      </c>
      <c r="G91" s="1">
        <f>IF(OR(RSA!$C$12&lt;&gt;"Ready",LEN(RSA!C46)=0),"",MOD(E91*F91,RSA!$C$16))</f>
        <v>19</v>
      </c>
      <c r="H91" s="1"/>
      <c r="I91" s="1">
        <v>10</v>
      </c>
      <c r="J91" s="1">
        <f>IF(OR(RSA!$C$12&lt;&gt;"Ready",LEN(RSA!C46)=0),"",INT(J90/2))</f>
        <v>0</v>
      </c>
      <c r="K91" s="1">
        <f>IF(OR(RSA!$C$12&lt;&gt;"Ready",LEN(RSA!C46)=0),"",MOD(K90*K90,RSA!$C$16))</f>
        <v>133</v>
      </c>
      <c r="L91" s="1">
        <f>IF(OR(RSA!$C$12&lt;&gt;"Ready",LEN(RSA!C46)=0),"",MOD(J91,2))</f>
        <v>0</v>
      </c>
      <c r="M91" s="1">
        <f>IF(OR(RSA!$C$12&lt;&gt;"Ready",LEN(RSA!C46)=0),"",O90)</f>
        <v>111</v>
      </c>
      <c r="N91" s="1">
        <f>IF(OR(RSA!$C$12&lt;&gt;"Ready",LEN(RSA!C46)=0),"",IF(L91=1,K91,1))</f>
        <v>1</v>
      </c>
      <c r="O91" s="1">
        <f>IF(OR(RSA!$C$12&lt;&gt;"Ready",LEN(RSA!C46)=0),"",MOD(M91*N91,RSA!$C$16))</f>
        <v>111</v>
      </c>
    </row>
    <row r="92" spans="1:15" ht="21.95" customHeight="1">
      <c r="A92" s="1">
        <v>11</v>
      </c>
      <c r="B92" s="1">
        <f>IF(OR(RSA!$C$12&lt;&gt;"Ready",LEN(RSA!C46)=0),"",INT(B91/2))</f>
        <v>0</v>
      </c>
      <c r="C92" s="1">
        <f>IF(OR(RSA!$C$12&lt;&gt;"Ready",LEN(RSA!C46)=0),"",MOD(C91*C91,RSA!$C$16))</f>
        <v>256</v>
      </c>
      <c r="D92" s="1">
        <f>IF(OR(RSA!$C$12&lt;&gt;"Ready",LEN(RSA!C46)=0),"",MOD(B92,2))</f>
        <v>0</v>
      </c>
      <c r="E92" s="1">
        <f>IF(OR(RSA!$C$12&lt;&gt;"Ready",LEN(RSA!C46)=0),"",G91)</f>
        <v>19</v>
      </c>
      <c r="F92" s="1">
        <f>IF(OR(RSA!$C$12&lt;&gt;"Ready",LEN(RSA!C46)=0),"",IF(D92=1,C92,1))</f>
        <v>1</v>
      </c>
      <c r="G92" s="1">
        <f>IF(OR(RSA!$C$12&lt;&gt;"Ready",LEN(RSA!C46)=0),"",MOD(E92*F92,RSA!$C$16))</f>
        <v>19</v>
      </c>
      <c r="H92" s="1"/>
      <c r="I92" s="1">
        <v>11</v>
      </c>
      <c r="J92" s="1">
        <f>IF(OR(RSA!$C$12&lt;&gt;"Ready",LEN(RSA!C46)=0),"",INT(J91/2))</f>
        <v>0</v>
      </c>
      <c r="K92" s="1">
        <f>IF(OR(RSA!$C$12&lt;&gt;"Ready",LEN(RSA!C46)=0),"",MOD(K91*K91,RSA!$C$16))</f>
        <v>100</v>
      </c>
      <c r="L92" s="1">
        <f>IF(OR(RSA!$C$12&lt;&gt;"Ready",LEN(RSA!C46)=0),"",MOD(J92,2))</f>
        <v>0</v>
      </c>
      <c r="M92" s="1">
        <f>IF(OR(RSA!$C$12&lt;&gt;"Ready",LEN(RSA!C46)=0),"",O91)</f>
        <v>111</v>
      </c>
      <c r="N92" s="1">
        <f>IF(OR(RSA!$C$12&lt;&gt;"Ready",LEN(RSA!C46)=0),"",IF(L92=1,K92,1))</f>
        <v>1</v>
      </c>
      <c r="O92" s="1">
        <f>IF(OR(RSA!$C$12&lt;&gt;"Ready",LEN(RSA!C46)=0),"",MOD(M92*N92,RSA!$C$16))</f>
        <v>111</v>
      </c>
    </row>
    <row r="93" spans="1:15" ht="21.95" customHeight="1">
      <c r="A93" s="1">
        <v>12</v>
      </c>
      <c r="B93" s="1">
        <f>IF(OR(RSA!$C$12&lt;&gt;"Ready",LEN(RSA!C46)=0),"",INT(B92/2))</f>
        <v>0</v>
      </c>
      <c r="C93" s="1">
        <f>IF(OR(RSA!$C$12&lt;&gt;"Ready",LEN(RSA!C46)=0),"",MOD(C92*C92,RSA!$C$16))</f>
        <v>510</v>
      </c>
      <c r="D93" s="1">
        <f>IF(OR(RSA!$C$12&lt;&gt;"Ready",LEN(RSA!C46)=0),"",MOD(B93,2))</f>
        <v>0</v>
      </c>
      <c r="E93" s="1">
        <f>IF(OR(RSA!$C$12&lt;&gt;"Ready",LEN(RSA!C46)=0),"",G92)</f>
        <v>19</v>
      </c>
      <c r="F93" s="1">
        <f>IF(OR(RSA!$C$12&lt;&gt;"Ready",LEN(RSA!C46)=0),"",IF(D93=1,C93,1))</f>
        <v>1</v>
      </c>
      <c r="G93" s="1">
        <f>IF(OR(RSA!$C$12&lt;&gt;"Ready",LEN(RSA!C46)=0),"",MOD(E93*F93,RSA!$C$16))</f>
        <v>19</v>
      </c>
      <c r="H93" s="1"/>
      <c r="I93" s="1">
        <v>12</v>
      </c>
      <c r="J93" s="1">
        <f>IF(OR(RSA!$C$12&lt;&gt;"Ready",LEN(RSA!C46)=0),"",INT(J92/2))</f>
        <v>0</v>
      </c>
      <c r="K93" s="1">
        <f>IF(OR(RSA!$C$12&lt;&gt;"Ready",LEN(RSA!C46)=0),"",MOD(K92*K92,RSA!$C$16))</f>
        <v>406</v>
      </c>
      <c r="L93" s="1">
        <f>IF(OR(RSA!$C$12&lt;&gt;"Ready",LEN(RSA!C46)=0),"",MOD(J93,2))</f>
        <v>0</v>
      </c>
      <c r="M93" s="1">
        <f>IF(OR(RSA!$C$12&lt;&gt;"Ready",LEN(RSA!C46)=0),"",O92)</f>
        <v>111</v>
      </c>
      <c r="N93" s="1">
        <f>IF(OR(RSA!$C$12&lt;&gt;"Ready",LEN(RSA!C46)=0),"",IF(L93=1,K93,1))</f>
        <v>1</v>
      </c>
      <c r="O93" s="1">
        <f>IF(OR(RSA!$C$12&lt;&gt;"Ready",LEN(RSA!C46)=0),"",MOD(M93*N93,RSA!$C$16))</f>
        <v>111</v>
      </c>
    </row>
    <row r="94" spans="1:15" ht="21.95" customHeight="1">
      <c r="A94" s="1">
        <v>13</v>
      </c>
      <c r="B94" s="1">
        <f>IF(OR(RSA!$C$12&lt;&gt;"Ready",LEN(RSA!C46)=0),"",INT(B93/2))</f>
        <v>0</v>
      </c>
      <c r="C94" s="1">
        <f>IF(OR(RSA!$C$12&lt;&gt;"Ready",LEN(RSA!C46)=0),"",MOD(C93*C93,RSA!$C$16))</f>
        <v>529</v>
      </c>
      <c r="D94" s="1">
        <f>IF(OR(RSA!$C$12&lt;&gt;"Ready",LEN(RSA!C46)=0),"",MOD(B94,2))</f>
        <v>0</v>
      </c>
      <c r="E94" s="1">
        <f>IF(OR(RSA!$C$12&lt;&gt;"Ready",LEN(RSA!C46)=0),"",G93)</f>
        <v>19</v>
      </c>
      <c r="F94" s="1">
        <f>IF(OR(RSA!$C$12&lt;&gt;"Ready",LEN(RSA!C46)=0),"",IF(D94=1,C94,1))</f>
        <v>1</v>
      </c>
      <c r="G94" s="1">
        <f>IF(OR(RSA!$C$12&lt;&gt;"Ready",LEN(RSA!C46)=0),"",MOD(E94*F94,RSA!$C$16))</f>
        <v>19</v>
      </c>
      <c r="H94" s="1"/>
      <c r="I94" s="1">
        <v>13</v>
      </c>
      <c r="J94" s="1">
        <f>IF(OR(RSA!$C$12&lt;&gt;"Ready",LEN(RSA!C46)=0),"",INT(J93/2))</f>
        <v>0</v>
      </c>
      <c r="K94" s="1">
        <f>IF(OR(RSA!$C$12&lt;&gt;"Ready",LEN(RSA!C46)=0),"",MOD(K93*K93,RSA!$C$16))</f>
        <v>139</v>
      </c>
      <c r="L94" s="1">
        <f>IF(OR(RSA!$C$12&lt;&gt;"Ready",LEN(RSA!C46)=0),"",MOD(J94,2))</f>
        <v>0</v>
      </c>
      <c r="M94" s="1">
        <f>IF(OR(RSA!$C$12&lt;&gt;"Ready",LEN(RSA!C46)=0),"",O93)</f>
        <v>111</v>
      </c>
      <c r="N94" s="1">
        <f>IF(OR(RSA!$C$12&lt;&gt;"Ready",LEN(RSA!C46)=0),"",IF(L94=1,K94,1))</f>
        <v>1</v>
      </c>
      <c r="O94" s="1">
        <f>IF(OR(RSA!$C$12&lt;&gt;"Ready",LEN(RSA!C46)=0),"",MOD(M94*N94,RSA!$C$16))</f>
        <v>111</v>
      </c>
    </row>
    <row r="95" spans="1:15" ht="21.95" customHeight="1">
      <c r="A95" s="1">
        <v>14</v>
      </c>
      <c r="B95" s="1">
        <f>IF(OR(RSA!$C$12&lt;&gt;"Ready",LEN(RSA!C46)=0),"",INT(B94/2))</f>
        <v>0</v>
      </c>
      <c r="C95" s="1">
        <f>IF(OR(RSA!$C$12&lt;&gt;"Ready",LEN(RSA!C46)=0),"",MOD(C94*C94,RSA!$C$16))</f>
        <v>16</v>
      </c>
      <c r="D95" s="1">
        <f>IF(OR(RSA!$C$12&lt;&gt;"Ready",LEN(RSA!C46)=0),"",MOD(B95,2))</f>
        <v>0</v>
      </c>
      <c r="E95" s="1">
        <f>IF(OR(RSA!$C$12&lt;&gt;"Ready",LEN(RSA!C46)=0),"",G94)</f>
        <v>19</v>
      </c>
      <c r="F95" s="1">
        <f>IF(OR(RSA!$C$12&lt;&gt;"Ready",LEN(RSA!C46)=0),"",IF(D95=1,C95,1))</f>
        <v>1</v>
      </c>
      <c r="G95" s="12">
        <f>IF(OR(RSA!$C$12&lt;&gt;"Ready",LEN(RSA!C46)=0),"",MOD(E95*F95,RSA!$C$16))</f>
        <v>19</v>
      </c>
      <c r="H95" s="1"/>
      <c r="I95" s="1">
        <v>14</v>
      </c>
      <c r="J95" s="1">
        <f>IF(OR(RSA!$C$12&lt;&gt;"Ready",LEN(RSA!C46)=0),"",INT(J94/2))</f>
        <v>0</v>
      </c>
      <c r="K95" s="1">
        <f>IF(OR(RSA!$C$12&lt;&gt;"Ready",LEN(RSA!C46)=0),"",MOD(K94*K94,RSA!$C$16))</f>
        <v>133</v>
      </c>
      <c r="L95" s="1">
        <f>IF(OR(RSA!$C$12&lt;&gt;"Ready",LEN(RSA!C46)=0),"",MOD(J95,2))</f>
        <v>0</v>
      </c>
      <c r="M95" s="1">
        <f>IF(OR(RSA!$C$12&lt;&gt;"Ready",LEN(RSA!C46)=0),"",O94)</f>
        <v>111</v>
      </c>
      <c r="N95" s="1">
        <f>IF(OR(RSA!$C$12&lt;&gt;"Ready",LEN(RSA!C46)=0),"",IF(L95=1,K95,1))</f>
        <v>1</v>
      </c>
      <c r="O95" s="12">
        <f>IF(OR(RSA!$C$12&lt;&gt;"Ready",LEN(RSA!C46)=0),"",MOD(M95*N95,RSA!$C$16))</f>
        <v>111</v>
      </c>
    </row>
    <row r="96" spans="1:15" ht="21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21.9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21.95" customHeight="1">
      <c r="A98" s="1" t="s">
        <v>92</v>
      </c>
      <c r="B98" s="1"/>
      <c r="C98" s="1"/>
      <c r="D98" s="1"/>
      <c r="E98" s="1"/>
      <c r="F98" s="1"/>
      <c r="G98" s="1"/>
      <c r="H98" s="1"/>
      <c r="I98" s="1" t="s">
        <v>93</v>
      </c>
      <c r="J98" s="1"/>
      <c r="K98" s="1"/>
      <c r="L98" s="1"/>
      <c r="M98" s="1"/>
      <c r="N98" s="1"/>
      <c r="O98" s="1"/>
    </row>
    <row r="99" spans="1:15" ht="32.1" customHeight="1">
      <c r="A99" s="4" t="s">
        <v>77</v>
      </c>
      <c r="B99" s="4" t="s">
        <v>78</v>
      </c>
      <c r="C99" s="4" t="s">
        <v>79</v>
      </c>
      <c r="D99" s="4" t="s">
        <v>80</v>
      </c>
      <c r="E99" s="4" t="s">
        <v>81</v>
      </c>
      <c r="F99" s="4" t="s">
        <v>82</v>
      </c>
      <c r="G99" s="4" t="s">
        <v>83</v>
      </c>
      <c r="H99" s="1"/>
      <c r="I99" s="4" t="s">
        <v>77</v>
      </c>
      <c r="J99" s="4" t="s">
        <v>78</v>
      </c>
      <c r="K99" s="4" t="s">
        <v>79</v>
      </c>
      <c r="L99" s="4" t="s">
        <v>80</v>
      </c>
      <c r="M99" s="4" t="s">
        <v>81</v>
      </c>
      <c r="N99" s="4" t="s">
        <v>82</v>
      </c>
      <c r="O99" s="4" t="s">
        <v>83</v>
      </c>
    </row>
    <row r="100" spans="1:15" ht="21.95" customHeight="1">
      <c r="A100" s="1">
        <v>1</v>
      </c>
      <c r="B100" s="1">
        <f>IF(OR(RSA!$C$12&lt;&gt;"Ready",LEN(RSA!C47)=0),"",RSA!$C$18)</f>
        <v>7</v>
      </c>
      <c r="C100" s="1">
        <f>IF(OR(RSA!$C$12&lt;&gt;"Ready",LEN(RSA!C47)=0),"",RSA!D47)</f>
        <v>32</v>
      </c>
      <c r="D100" s="1">
        <f>IF(OR(RSA!$C$12&lt;&gt;"Ready",LEN(RSA!C47)=0),"",MOD(B100,2))</f>
        <v>1</v>
      </c>
      <c r="E100" s="1">
        <f>IF(OR(RSA!$C$12&lt;&gt;"Ready",LEN(RSA!C47)=0),"",1)</f>
        <v>1</v>
      </c>
      <c r="F100" s="1">
        <f>IF(OR(RSA!$C$12&lt;&gt;"Ready",LEN(RSA!C47)=0),"",IF(D100=1,C100,1))</f>
        <v>32</v>
      </c>
      <c r="G100" s="1">
        <f>IF(OR(RSA!$C$12&lt;&gt;"Ready",LEN(RSA!C47)=0),"",MOD(E100*F100,RSA!$C$16))</f>
        <v>32</v>
      </c>
      <c r="H100" s="1"/>
      <c r="I100" s="1">
        <v>1</v>
      </c>
      <c r="J100" s="1">
        <f>IF(OR(RSA!$C$12&lt;&gt;"Ready",LEN(RSA!C47)=0),"",RSA!$C$19)</f>
        <v>343</v>
      </c>
      <c r="K100" s="1">
        <f>IF(OR(RSA!$C$12&lt;&gt;"Ready",LEN(RSA!C47)=0),"",RSA!F47)</f>
        <v>501</v>
      </c>
      <c r="L100" s="1">
        <f>IF(OR(RSA!$C$12&lt;&gt;"Ready",LEN(RSA!C47)=0),"",MOD(J100,2))</f>
        <v>1</v>
      </c>
      <c r="M100" s="1">
        <f>IF(OR(RSA!$C$12&lt;&gt;"Ready",LEN(RSA!C47)=0),"",1)</f>
        <v>1</v>
      </c>
      <c r="N100" s="1">
        <f>IF(OR(RSA!$C$12&lt;&gt;"Ready",LEN(RSA!C47)=0),"",IF(L100=1,K100,1))</f>
        <v>501</v>
      </c>
      <c r="O100" s="1">
        <f>IF(OR(RSA!$C$12&lt;&gt;"Ready",LEN(RSA!C47)=0),"",MOD(M100*N100,RSA!$C$16))</f>
        <v>501</v>
      </c>
    </row>
    <row r="101" spans="1:15" ht="21.95" customHeight="1">
      <c r="A101" s="1">
        <v>2</v>
      </c>
      <c r="B101" s="1">
        <f>IF(OR(RSA!$C$12&lt;&gt;"Ready",LEN(RSA!C47)=0),"",INT(B100/2))</f>
        <v>3</v>
      </c>
      <c r="C101" s="1">
        <f>IF(OR(RSA!$C$12&lt;&gt;"Ready",LEN(RSA!C47)=0),"",MOD(C100*C100,RSA!$C$16))</f>
        <v>491</v>
      </c>
      <c r="D101" s="1">
        <f>IF(OR(RSA!$C$12&lt;&gt;"Ready",LEN(RSA!C47)=0),"",MOD(B101,2))</f>
        <v>1</v>
      </c>
      <c r="E101" s="1">
        <f>IF(OR(RSA!$C$12&lt;&gt;"Ready",LEN(RSA!C47)=0),"",G100)</f>
        <v>32</v>
      </c>
      <c r="F101" s="1">
        <f>IF(OR(RSA!$C$12&lt;&gt;"Ready",LEN(RSA!C47)=0),"",IF(D101=1,C101,1))</f>
        <v>491</v>
      </c>
      <c r="G101" s="1">
        <f>IF(OR(RSA!$C$12&lt;&gt;"Ready",LEN(RSA!C47)=0),"",MOD(E101*F101,RSA!$C$16))</f>
        <v>255</v>
      </c>
      <c r="H101" s="1"/>
      <c r="I101" s="1">
        <v>2</v>
      </c>
      <c r="J101" s="1">
        <f>IF(OR(RSA!$C$12&lt;&gt;"Ready",LEN(RSA!C47)=0),"",INT(J100/2))</f>
        <v>171</v>
      </c>
      <c r="K101" s="1">
        <f>IF(OR(RSA!$C$12&lt;&gt;"Ready",LEN(RSA!C47)=0),"",MOD(K100*K100,RSA!$C$16))</f>
        <v>491</v>
      </c>
      <c r="L101" s="1">
        <f>IF(OR(RSA!$C$12&lt;&gt;"Ready",LEN(RSA!C47)=0),"",MOD(J101,2))</f>
        <v>1</v>
      </c>
      <c r="M101" s="1">
        <f>IF(OR(RSA!$C$12&lt;&gt;"Ready",LEN(RSA!C47)=0),"",O100)</f>
        <v>501</v>
      </c>
      <c r="N101" s="1">
        <f>IF(OR(RSA!$C$12&lt;&gt;"Ready",LEN(RSA!C47)=0),"",IF(L101=1,K101,1))</f>
        <v>491</v>
      </c>
      <c r="O101" s="1">
        <f>IF(OR(RSA!$C$12&lt;&gt;"Ready",LEN(RSA!C47)=0),"",MOD(M101*N101,RSA!$C$16))</f>
        <v>278</v>
      </c>
    </row>
    <row r="102" spans="1:15" ht="21.95" customHeight="1">
      <c r="A102" s="1">
        <v>3</v>
      </c>
      <c r="B102" s="1">
        <f>IF(OR(RSA!$C$12&lt;&gt;"Ready",LEN(RSA!C47)=0),"",INT(B101/2))</f>
        <v>1</v>
      </c>
      <c r="C102" s="1">
        <f>IF(OR(RSA!$C$12&lt;&gt;"Ready",LEN(RSA!C47)=0),"",MOD(C101*C101,RSA!$C$16))</f>
        <v>165</v>
      </c>
      <c r="D102" s="1">
        <f>IF(OR(RSA!$C$12&lt;&gt;"Ready",LEN(RSA!C47)=0),"",MOD(B102,2))</f>
        <v>1</v>
      </c>
      <c r="E102" s="1">
        <f>IF(OR(RSA!$C$12&lt;&gt;"Ready",LEN(RSA!C47)=0),"",G101)</f>
        <v>255</v>
      </c>
      <c r="F102" s="1">
        <f>IF(OR(RSA!$C$12&lt;&gt;"Ready",LEN(RSA!C47)=0),"",IF(D102=1,C102,1))</f>
        <v>165</v>
      </c>
      <c r="G102" s="1">
        <f>IF(OR(RSA!$C$12&lt;&gt;"Ready",LEN(RSA!C47)=0),"",MOD(E102*F102,RSA!$C$16))</f>
        <v>501</v>
      </c>
      <c r="H102" s="1"/>
      <c r="I102" s="1">
        <v>3</v>
      </c>
      <c r="J102" s="1">
        <f>IF(OR(RSA!$C$12&lt;&gt;"Ready",LEN(RSA!C47)=0),"",INT(J101/2))</f>
        <v>85</v>
      </c>
      <c r="K102" s="1">
        <f>IF(OR(RSA!$C$12&lt;&gt;"Ready",LEN(RSA!C47)=0),"",MOD(K101*K101,RSA!$C$16))</f>
        <v>165</v>
      </c>
      <c r="L102" s="1">
        <f>IF(OR(RSA!$C$12&lt;&gt;"Ready",LEN(RSA!C47)=0),"",MOD(J102,2))</f>
        <v>1</v>
      </c>
      <c r="M102" s="1">
        <f>IF(OR(RSA!$C$12&lt;&gt;"Ready",LEN(RSA!C47)=0),"",O101)</f>
        <v>278</v>
      </c>
      <c r="N102" s="1">
        <f>IF(OR(RSA!$C$12&lt;&gt;"Ready",LEN(RSA!C47)=0),"",IF(L102=1,K102,1))</f>
        <v>165</v>
      </c>
      <c r="O102" s="1">
        <f>IF(OR(RSA!$C$12&lt;&gt;"Ready",LEN(RSA!C47)=0),"",MOD(M102*N102,RSA!$C$16))</f>
        <v>32</v>
      </c>
    </row>
    <row r="103" spans="1:15" ht="21.95" customHeight="1">
      <c r="A103" s="1">
        <v>4</v>
      </c>
      <c r="B103" s="1">
        <f>IF(OR(RSA!$C$12&lt;&gt;"Ready",LEN(RSA!C47)=0),"",INT(B102/2))</f>
        <v>0</v>
      </c>
      <c r="C103" s="1">
        <f>IF(OR(RSA!$C$12&lt;&gt;"Ready",LEN(RSA!C47)=0),"",MOD(C102*C102,RSA!$C$16))</f>
        <v>42</v>
      </c>
      <c r="D103" s="1">
        <f>IF(OR(RSA!$C$12&lt;&gt;"Ready",LEN(RSA!C47)=0),"",MOD(B103,2))</f>
        <v>0</v>
      </c>
      <c r="E103" s="1">
        <f>IF(OR(RSA!$C$12&lt;&gt;"Ready",LEN(RSA!C47)=0),"",G102)</f>
        <v>501</v>
      </c>
      <c r="F103" s="1">
        <f>IF(OR(RSA!$C$12&lt;&gt;"Ready",LEN(RSA!C47)=0),"",IF(D103=1,C103,1))</f>
        <v>1</v>
      </c>
      <c r="G103" s="1">
        <f>IF(OR(RSA!$C$12&lt;&gt;"Ready",LEN(RSA!C47)=0),"",MOD(E103*F103,RSA!$C$16))</f>
        <v>501</v>
      </c>
      <c r="H103" s="1"/>
      <c r="I103" s="1">
        <v>4</v>
      </c>
      <c r="J103" s="1">
        <f>IF(OR(RSA!$C$12&lt;&gt;"Ready",LEN(RSA!C47)=0),"",INT(J102/2))</f>
        <v>42</v>
      </c>
      <c r="K103" s="1">
        <f>IF(OR(RSA!$C$12&lt;&gt;"Ready",LEN(RSA!C47)=0),"",MOD(K102*K102,RSA!$C$16))</f>
        <v>42</v>
      </c>
      <c r="L103" s="1">
        <f>IF(OR(RSA!$C$12&lt;&gt;"Ready",LEN(RSA!C47)=0),"",MOD(J103,2))</f>
        <v>0</v>
      </c>
      <c r="M103" s="1">
        <f>IF(OR(RSA!$C$12&lt;&gt;"Ready",LEN(RSA!C47)=0),"",O102)</f>
        <v>32</v>
      </c>
      <c r="N103" s="1">
        <f>IF(OR(RSA!$C$12&lt;&gt;"Ready",LEN(RSA!C47)=0),"",IF(L103=1,K103,1))</f>
        <v>1</v>
      </c>
      <c r="O103" s="1">
        <f>IF(OR(RSA!$C$12&lt;&gt;"Ready",LEN(RSA!C47)=0),"",MOD(M103*N103,RSA!$C$16))</f>
        <v>32</v>
      </c>
    </row>
    <row r="104" spans="1:15" ht="21.95" customHeight="1">
      <c r="A104" s="1">
        <v>5</v>
      </c>
      <c r="B104" s="1">
        <f>IF(OR(RSA!$C$12&lt;&gt;"Ready",LEN(RSA!C47)=0),"",INT(B103/2))</f>
        <v>0</v>
      </c>
      <c r="C104" s="1">
        <f>IF(OR(RSA!$C$12&lt;&gt;"Ready",LEN(RSA!C47)=0),"",MOD(C103*C103,RSA!$C$16))</f>
        <v>165</v>
      </c>
      <c r="D104" s="1">
        <f>IF(OR(RSA!$C$12&lt;&gt;"Ready",LEN(RSA!C47)=0),"",MOD(B104,2))</f>
        <v>0</v>
      </c>
      <c r="E104" s="1">
        <f>IF(OR(RSA!$C$12&lt;&gt;"Ready",LEN(RSA!C47)=0),"",G103)</f>
        <v>501</v>
      </c>
      <c r="F104" s="1">
        <f>IF(OR(RSA!$C$12&lt;&gt;"Ready",LEN(RSA!C47)=0),"",IF(D104=1,C104,1))</f>
        <v>1</v>
      </c>
      <c r="G104" s="1">
        <f>IF(OR(RSA!$C$12&lt;&gt;"Ready",LEN(RSA!C47)=0),"",MOD(E104*F104,RSA!$C$16))</f>
        <v>501</v>
      </c>
      <c r="H104" s="1"/>
      <c r="I104" s="1">
        <v>5</v>
      </c>
      <c r="J104" s="1">
        <f>IF(OR(RSA!$C$12&lt;&gt;"Ready",LEN(RSA!C47)=0),"",INT(J103/2))</f>
        <v>21</v>
      </c>
      <c r="K104" s="1">
        <f>IF(OR(RSA!$C$12&lt;&gt;"Ready",LEN(RSA!C47)=0),"",MOD(K103*K103,RSA!$C$16))</f>
        <v>165</v>
      </c>
      <c r="L104" s="1">
        <f>IF(OR(RSA!$C$12&lt;&gt;"Ready",LEN(RSA!C47)=0),"",MOD(J104,2))</f>
        <v>1</v>
      </c>
      <c r="M104" s="1">
        <f>IF(OR(RSA!$C$12&lt;&gt;"Ready",LEN(RSA!C47)=0),"",O103)</f>
        <v>32</v>
      </c>
      <c r="N104" s="1">
        <f>IF(OR(RSA!$C$12&lt;&gt;"Ready",LEN(RSA!C47)=0),"",IF(L104=1,K104,1))</f>
        <v>165</v>
      </c>
      <c r="O104" s="1">
        <f>IF(OR(RSA!$C$12&lt;&gt;"Ready",LEN(RSA!C47)=0),"",MOD(M104*N104,RSA!$C$16))</f>
        <v>483</v>
      </c>
    </row>
    <row r="105" spans="1:15" ht="21.95" customHeight="1">
      <c r="A105" s="1">
        <v>6</v>
      </c>
      <c r="B105" s="1">
        <f>IF(OR(RSA!$C$12&lt;&gt;"Ready",LEN(RSA!C47)=0),"",INT(B104/2))</f>
        <v>0</v>
      </c>
      <c r="C105" s="1">
        <f>IF(OR(RSA!$C$12&lt;&gt;"Ready",LEN(RSA!C47)=0),"",MOD(C104*C104,RSA!$C$16))</f>
        <v>42</v>
      </c>
      <c r="D105" s="1">
        <f>IF(OR(RSA!$C$12&lt;&gt;"Ready",LEN(RSA!C47)=0),"",MOD(B105,2))</f>
        <v>0</v>
      </c>
      <c r="E105" s="1">
        <f>IF(OR(RSA!$C$12&lt;&gt;"Ready",LEN(RSA!C47)=0),"",G104)</f>
        <v>501</v>
      </c>
      <c r="F105" s="1">
        <f>IF(OR(RSA!$C$12&lt;&gt;"Ready",LEN(RSA!C47)=0),"",IF(D105=1,C105,1))</f>
        <v>1</v>
      </c>
      <c r="G105" s="1">
        <f>IF(OR(RSA!$C$12&lt;&gt;"Ready",LEN(RSA!C47)=0),"",MOD(E105*F105,RSA!$C$16))</f>
        <v>501</v>
      </c>
      <c r="H105" s="1"/>
      <c r="I105" s="1">
        <v>6</v>
      </c>
      <c r="J105" s="1">
        <f>IF(OR(RSA!$C$12&lt;&gt;"Ready",LEN(RSA!C47)=0),"",INT(J104/2))</f>
        <v>10</v>
      </c>
      <c r="K105" s="1">
        <f>IF(OR(RSA!$C$12&lt;&gt;"Ready",LEN(RSA!C47)=0),"",MOD(K104*K104,RSA!$C$16))</f>
        <v>42</v>
      </c>
      <c r="L105" s="1">
        <f>IF(OR(RSA!$C$12&lt;&gt;"Ready",LEN(RSA!C47)=0),"",MOD(J105,2))</f>
        <v>0</v>
      </c>
      <c r="M105" s="1">
        <f>IF(OR(RSA!$C$12&lt;&gt;"Ready",LEN(RSA!C47)=0),"",O104)</f>
        <v>483</v>
      </c>
      <c r="N105" s="1">
        <f>IF(OR(RSA!$C$12&lt;&gt;"Ready",LEN(RSA!C47)=0),"",IF(L105=1,K105,1))</f>
        <v>1</v>
      </c>
      <c r="O105" s="1">
        <f>IF(OR(RSA!$C$12&lt;&gt;"Ready",LEN(RSA!C47)=0),"",MOD(M105*N105,RSA!$C$16))</f>
        <v>483</v>
      </c>
    </row>
    <row r="106" spans="1:15" ht="21.95" customHeight="1">
      <c r="A106" s="1">
        <v>7</v>
      </c>
      <c r="B106" s="1">
        <f>IF(OR(RSA!$C$12&lt;&gt;"Ready",LEN(RSA!C47)=0),"",INT(B105/2))</f>
        <v>0</v>
      </c>
      <c r="C106" s="1">
        <f>IF(OR(RSA!$C$12&lt;&gt;"Ready",LEN(RSA!C47)=0),"",MOD(C105*C105,RSA!$C$16))</f>
        <v>165</v>
      </c>
      <c r="D106" s="1">
        <f>IF(OR(RSA!$C$12&lt;&gt;"Ready",LEN(RSA!C47)=0),"",MOD(B106,2))</f>
        <v>0</v>
      </c>
      <c r="E106" s="1">
        <f>IF(OR(RSA!$C$12&lt;&gt;"Ready",LEN(RSA!C47)=0),"",G105)</f>
        <v>501</v>
      </c>
      <c r="F106" s="1">
        <f>IF(OR(RSA!$C$12&lt;&gt;"Ready",LEN(RSA!C47)=0),"",IF(D106=1,C106,1))</f>
        <v>1</v>
      </c>
      <c r="G106" s="1">
        <f>IF(OR(RSA!$C$12&lt;&gt;"Ready",LEN(RSA!C47)=0),"",MOD(E106*F106,RSA!$C$16))</f>
        <v>501</v>
      </c>
      <c r="H106" s="1"/>
      <c r="I106" s="1">
        <v>7</v>
      </c>
      <c r="J106" s="1">
        <f>IF(OR(RSA!$C$12&lt;&gt;"Ready",LEN(RSA!C47)=0),"",INT(J105/2))</f>
        <v>5</v>
      </c>
      <c r="K106" s="1">
        <f>IF(OR(RSA!$C$12&lt;&gt;"Ready",LEN(RSA!C47)=0),"",MOD(K105*K105,RSA!$C$16))</f>
        <v>165</v>
      </c>
      <c r="L106" s="1">
        <f>IF(OR(RSA!$C$12&lt;&gt;"Ready",LEN(RSA!C47)=0),"",MOD(J106,2))</f>
        <v>1</v>
      </c>
      <c r="M106" s="1">
        <f>IF(OR(RSA!$C$12&lt;&gt;"Ready",LEN(RSA!C47)=0),"",O105)</f>
        <v>483</v>
      </c>
      <c r="N106" s="1">
        <f>IF(OR(RSA!$C$12&lt;&gt;"Ready",LEN(RSA!C47)=0),"",IF(L106=1,K106,1))</f>
        <v>165</v>
      </c>
      <c r="O106" s="1">
        <f>IF(OR(RSA!$C$12&lt;&gt;"Ready",LEN(RSA!C47)=0),"",MOD(M106*N106,RSA!$C$16))</f>
        <v>278</v>
      </c>
    </row>
    <row r="107" spans="1:15" ht="21.95" customHeight="1">
      <c r="A107" s="1">
        <v>8</v>
      </c>
      <c r="B107" s="1">
        <f>IF(OR(RSA!$C$12&lt;&gt;"Ready",LEN(RSA!C47)=0),"",INT(B106/2))</f>
        <v>0</v>
      </c>
      <c r="C107" s="1">
        <f>IF(OR(RSA!$C$12&lt;&gt;"Ready",LEN(RSA!C47)=0),"",MOD(C106*C106,RSA!$C$16))</f>
        <v>42</v>
      </c>
      <c r="D107" s="1">
        <f>IF(OR(RSA!$C$12&lt;&gt;"Ready",LEN(RSA!C47)=0),"",MOD(B107,2))</f>
        <v>0</v>
      </c>
      <c r="E107" s="1">
        <f>IF(OR(RSA!$C$12&lt;&gt;"Ready",LEN(RSA!C47)=0),"",G106)</f>
        <v>501</v>
      </c>
      <c r="F107" s="1">
        <f>IF(OR(RSA!$C$12&lt;&gt;"Ready",LEN(RSA!C47)=0),"",IF(D107=1,C107,1))</f>
        <v>1</v>
      </c>
      <c r="G107" s="1">
        <f>IF(OR(RSA!$C$12&lt;&gt;"Ready",LEN(RSA!C47)=0),"",MOD(E107*F107,RSA!$C$16))</f>
        <v>501</v>
      </c>
      <c r="H107" s="1"/>
      <c r="I107" s="1">
        <v>8</v>
      </c>
      <c r="J107" s="1">
        <f>IF(OR(RSA!$C$12&lt;&gt;"Ready",LEN(RSA!C47)=0),"",INT(J106/2))</f>
        <v>2</v>
      </c>
      <c r="K107" s="1">
        <f>IF(OR(RSA!$C$12&lt;&gt;"Ready",LEN(RSA!C47)=0),"",MOD(K106*K106,RSA!$C$16))</f>
        <v>42</v>
      </c>
      <c r="L107" s="1">
        <f>IF(OR(RSA!$C$12&lt;&gt;"Ready",LEN(RSA!C47)=0),"",MOD(J107,2))</f>
        <v>0</v>
      </c>
      <c r="M107" s="1">
        <f>IF(OR(RSA!$C$12&lt;&gt;"Ready",LEN(RSA!C47)=0),"",O106)</f>
        <v>278</v>
      </c>
      <c r="N107" s="1">
        <f>IF(OR(RSA!$C$12&lt;&gt;"Ready",LEN(RSA!C47)=0),"",IF(L107=1,K107,1))</f>
        <v>1</v>
      </c>
      <c r="O107" s="1">
        <f>IF(OR(RSA!$C$12&lt;&gt;"Ready",LEN(RSA!C47)=0),"",MOD(M107*N107,RSA!$C$16))</f>
        <v>278</v>
      </c>
    </row>
    <row r="108" spans="1:15" ht="21.95" customHeight="1">
      <c r="A108" s="1">
        <v>9</v>
      </c>
      <c r="B108" s="1">
        <f>IF(OR(RSA!$C$12&lt;&gt;"Ready",LEN(RSA!C47)=0),"",INT(B107/2))</f>
        <v>0</v>
      </c>
      <c r="C108" s="1">
        <f>IF(OR(RSA!$C$12&lt;&gt;"Ready",LEN(RSA!C47)=0),"",MOD(C107*C107,RSA!$C$16))</f>
        <v>165</v>
      </c>
      <c r="D108" s="1">
        <f>IF(OR(RSA!$C$12&lt;&gt;"Ready",LEN(RSA!C47)=0),"",MOD(B108,2))</f>
        <v>0</v>
      </c>
      <c r="E108" s="1">
        <f>IF(OR(RSA!$C$12&lt;&gt;"Ready",LEN(RSA!C47)=0),"",G107)</f>
        <v>501</v>
      </c>
      <c r="F108" s="1">
        <f>IF(OR(RSA!$C$12&lt;&gt;"Ready",LEN(RSA!C47)=0),"",IF(D108=1,C108,1))</f>
        <v>1</v>
      </c>
      <c r="G108" s="1">
        <f>IF(OR(RSA!$C$12&lt;&gt;"Ready",LEN(RSA!C47)=0),"",MOD(E108*F108,RSA!$C$16))</f>
        <v>501</v>
      </c>
      <c r="H108" s="1"/>
      <c r="I108" s="1">
        <v>9</v>
      </c>
      <c r="J108" s="1">
        <f>IF(OR(RSA!$C$12&lt;&gt;"Ready",LEN(RSA!C47)=0),"",INT(J107/2))</f>
        <v>1</v>
      </c>
      <c r="K108" s="1">
        <f>IF(OR(RSA!$C$12&lt;&gt;"Ready",LEN(RSA!C47)=0),"",MOD(K107*K107,RSA!$C$16))</f>
        <v>165</v>
      </c>
      <c r="L108" s="1">
        <f>IF(OR(RSA!$C$12&lt;&gt;"Ready",LEN(RSA!C47)=0),"",MOD(J108,2))</f>
        <v>1</v>
      </c>
      <c r="M108" s="1">
        <f>IF(OR(RSA!$C$12&lt;&gt;"Ready",LEN(RSA!C47)=0),"",O107)</f>
        <v>278</v>
      </c>
      <c r="N108" s="1">
        <f>IF(OR(RSA!$C$12&lt;&gt;"Ready",LEN(RSA!C47)=0),"",IF(L108=1,K108,1))</f>
        <v>165</v>
      </c>
      <c r="O108" s="1">
        <f>IF(OR(RSA!$C$12&lt;&gt;"Ready",LEN(RSA!C47)=0),"",MOD(M108*N108,RSA!$C$16))</f>
        <v>32</v>
      </c>
    </row>
    <row r="109" spans="1:15" ht="21.95" customHeight="1">
      <c r="A109" s="1">
        <v>10</v>
      </c>
      <c r="B109" s="1">
        <f>IF(OR(RSA!$C$12&lt;&gt;"Ready",LEN(RSA!C47)=0),"",INT(B108/2))</f>
        <v>0</v>
      </c>
      <c r="C109" s="1">
        <f>IF(OR(RSA!$C$12&lt;&gt;"Ready",LEN(RSA!C47)=0),"",MOD(C108*C108,RSA!$C$16))</f>
        <v>42</v>
      </c>
      <c r="D109" s="1">
        <f>IF(OR(RSA!$C$12&lt;&gt;"Ready",LEN(RSA!C47)=0),"",MOD(B109,2))</f>
        <v>0</v>
      </c>
      <c r="E109" s="1">
        <f>IF(OR(RSA!$C$12&lt;&gt;"Ready",LEN(RSA!C47)=0),"",G108)</f>
        <v>501</v>
      </c>
      <c r="F109" s="1">
        <f>IF(OR(RSA!$C$12&lt;&gt;"Ready",LEN(RSA!C47)=0),"",IF(D109=1,C109,1))</f>
        <v>1</v>
      </c>
      <c r="G109" s="1">
        <f>IF(OR(RSA!$C$12&lt;&gt;"Ready",LEN(RSA!C47)=0),"",MOD(E109*F109,RSA!$C$16))</f>
        <v>501</v>
      </c>
      <c r="H109" s="1"/>
      <c r="I109" s="1">
        <v>10</v>
      </c>
      <c r="J109" s="1">
        <f>IF(OR(RSA!$C$12&lt;&gt;"Ready",LEN(RSA!C47)=0),"",INT(J108/2))</f>
        <v>0</v>
      </c>
      <c r="K109" s="1">
        <f>IF(OR(RSA!$C$12&lt;&gt;"Ready",LEN(RSA!C47)=0),"",MOD(K108*K108,RSA!$C$16))</f>
        <v>42</v>
      </c>
      <c r="L109" s="1">
        <f>IF(OR(RSA!$C$12&lt;&gt;"Ready",LEN(RSA!C47)=0),"",MOD(J109,2))</f>
        <v>0</v>
      </c>
      <c r="M109" s="1">
        <f>IF(OR(RSA!$C$12&lt;&gt;"Ready",LEN(RSA!C47)=0),"",O108)</f>
        <v>32</v>
      </c>
      <c r="N109" s="1">
        <f>IF(OR(RSA!$C$12&lt;&gt;"Ready",LEN(RSA!C47)=0),"",IF(L109=1,K109,1))</f>
        <v>1</v>
      </c>
      <c r="O109" s="1">
        <f>IF(OR(RSA!$C$12&lt;&gt;"Ready",LEN(RSA!C47)=0),"",MOD(M109*N109,RSA!$C$16))</f>
        <v>32</v>
      </c>
    </row>
    <row r="110" spans="1:15" ht="21.95" customHeight="1">
      <c r="A110" s="1">
        <v>11</v>
      </c>
      <c r="B110" s="1">
        <f>IF(OR(RSA!$C$12&lt;&gt;"Ready",LEN(RSA!C47)=0),"",INT(B109/2))</f>
        <v>0</v>
      </c>
      <c r="C110" s="1">
        <f>IF(OR(RSA!$C$12&lt;&gt;"Ready",LEN(RSA!C47)=0),"",MOD(C109*C109,RSA!$C$16))</f>
        <v>165</v>
      </c>
      <c r="D110" s="1">
        <f>IF(OR(RSA!$C$12&lt;&gt;"Ready",LEN(RSA!C47)=0),"",MOD(B110,2))</f>
        <v>0</v>
      </c>
      <c r="E110" s="1">
        <f>IF(OR(RSA!$C$12&lt;&gt;"Ready",LEN(RSA!C47)=0),"",G109)</f>
        <v>501</v>
      </c>
      <c r="F110" s="1">
        <f>IF(OR(RSA!$C$12&lt;&gt;"Ready",LEN(RSA!C47)=0),"",IF(D110=1,C110,1))</f>
        <v>1</v>
      </c>
      <c r="G110" s="1">
        <f>IF(OR(RSA!$C$12&lt;&gt;"Ready",LEN(RSA!C47)=0),"",MOD(E110*F110,RSA!$C$16))</f>
        <v>501</v>
      </c>
      <c r="H110" s="1"/>
      <c r="I110" s="1">
        <v>11</v>
      </c>
      <c r="J110" s="1">
        <f>IF(OR(RSA!$C$12&lt;&gt;"Ready",LEN(RSA!C47)=0),"",INT(J109/2))</f>
        <v>0</v>
      </c>
      <c r="K110" s="1">
        <f>IF(OR(RSA!$C$12&lt;&gt;"Ready",LEN(RSA!C47)=0),"",MOD(K109*K109,RSA!$C$16))</f>
        <v>165</v>
      </c>
      <c r="L110" s="1">
        <f>IF(OR(RSA!$C$12&lt;&gt;"Ready",LEN(RSA!C47)=0),"",MOD(J110,2))</f>
        <v>0</v>
      </c>
      <c r="M110" s="1">
        <f>IF(OR(RSA!$C$12&lt;&gt;"Ready",LEN(RSA!C47)=0),"",O109)</f>
        <v>32</v>
      </c>
      <c r="N110" s="1">
        <f>IF(OR(RSA!$C$12&lt;&gt;"Ready",LEN(RSA!C47)=0),"",IF(L110=1,K110,1))</f>
        <v>1</v>
      </c>
      <c r="O110" s="1">
        <f>IF(OR(RSA!$C$12&lt;&gt;"Ready",LEN(RSA!C47)=0),"",MOD(M110*N110,RSA!$C$16))</f>
        <v>32</v>
      </c>
    </row>
    <row r="111" spans="1:15" ht="21.95" customHeight="1">
      <c r="A111" s="1">
        <v>12</v>
      </c>
      <c r="B111" s="1">
        <f>IF(OR(RSA!$C$12&lt;&gt;"Ready",LEN(RSA!C47)=0),"",INT(B110/2))</f>
        <v>0</v>
      </c>
      <c r="C111" s="1">
        <f>IF(OR(RSA!$C$12&lt;&gt;"Ready",LEN(RSA!C47)=0),"",MOD(C110*C110,RSA!$C$16))</f>
        <v>42</v>
      </c>
      <c r="D111" s="1">
        <f>IF(OR(RSA!$C$12&lt;&gt;"Ready",LEN(RSA!C47)=0),"",MOD(B111,2))</f>
        <v>0</v>
      </c>
      <c r="E111" s="1">
        <f>IF(OR(RSA!$C$12&lt;&gt;"Ready",LEN(RSA!C47)=0),"",G110)</f>
        <v>501</v>
      </c>
      <c r="F111" s="1">
        <f>IF(OR(RSA!$C$12&lt;&gt;"Ready",LEN(RSA!C47)=0),"",IF(D111=1,C111,1))</f>
        <v>1</v>
      </c>
      <c r="G111" s="1">
        <f>IF(OR(RSA!$C$12&lt;&gt;"Ready",LEN(RSA!C47)=0),"",MOD(E111*F111,RSA!$C$16))</f>
        <v>501</v>
      </c>
      <c r="H111" s="1"/>
      <c r="I111" s="1">
        <v>12</v>
      </c>
      <c r="J111" s="1">
        <f>IF(OR(RSA!$C$12&lt;&gt;"Ready",LEN(RSA!C47)=0),"",INT(J110/2))</f>
        <v>0</v>
      </c>
      <c r="K111" s="1">
        <f>IF(OR(RSA!$C$12&lt;&gt;"Ready",LEN(RSA!C47)=0),"",MOD(K110*K110,RSA!$C$16))</f>
        <v>42</v>
      </c>
      <c r="L111" s="1">
        <f>IF(OR(RSA!$C$12&lt;&gt;"Ready",LEN(RSA!C47)=0),"",MOD(J111,2))</f>
        <v>0</v>
      </c>
      <c r="M111" s="1">
        <f>IF(OR(RSA!$C$12&lt;&gt;"Ready",LEN(RSA!C47)=0),"",O110)</f>
        <v>32</v>
      </c>
      <c r="N111" s="1">
        <f>IF(OR(RSA!$C$12&lt;&gt;"Ready",LEN(RSA!C47)=0),"",IF(L111=1,K111,1))</f>
        <v>1</v>
      </c>
      <c r="O111" s="1">
        <f>IF(OR(RSA!$C$12&lt;&gt;"Ready",LEN(RSA!C47)=0),"",MOD(M111*N111,RSA!$C$16))</f>
        <v>32</v>
      </c>
    </row>
    <row r="112" spans="1:15" ht="21.95" customHeight="1">
      <c r="A112" s="1">
        <v>13</v>
      </c>
      <c r="B112" s="1">
        <f>IF(OR(RSA!$C$12&lt;&gt;"Ready",LEN(RSA!C47)=0),"",INT(B111/2))</f>
        <v>0</v>
      </c>
      <c r="C112" s="1">
        <f>IF(OR(RSA!$C$12&lt;&gt;"Ready",LEN(RSA!C47)=0),"",MOD(C111*C111,RSA!$C$16))</f>
        <v>165</v>
      </c>
      <c r="D112" s="1">
        <f>IF(OR(RSA!$C$12&lt;&gt;"Ready",LEN(RSA!C47)=0),"",MOD(B112,2))</f>
        <v>0</v>
      </c>
      <c r="E112" s="1">
        <f>IF(OR(RSA!$C$12&lt;&gt;"Ready",LEN(RSA!C47)=0),"",G111)</f>
        <v>501</v>
      </c>
      <c r="F112" s="1">
        <f>IF(OR(RSA!$C$12&lt;&gt;"Ready",LEN(RSA!C47)=0),"",IF(D112=1,C112,1))</f>
        <v>1</v>
      </c>
      <c r="G112" s="1">
        <f>IF(OR(RSA!$C$12&lt;&gt;"Ready",LEN(RSA!C47)=0),"",MOD(E112*F112,RSA!$C$16))</f>
        <v>501</v>
      </c>
      <c r="H112" s="1"/>
      <c r="I112" s="1">
        <v>13</v>
      </c>
      <c r="J112" s="1">
        <f>IF(OR(RSA!$C$12&lt;&gt;"Ready",LEN(RSA!C47)=0),"",INT(J111/2))</f>
        <v>0</v>
      </c>
      <c r="K112" s="1">
        <f>IF(OR(RSA!$C$12&lt;&gt;"Ready",LEN(RSA!C47)=0),"",MOD(K111*K111,RSA!$C$16))</f>
        <v>165</v>
      </c>
      <c r="L112" s="1">
        <f>IF(OR(RSA!$C$12&lt;&gt;"Ready",LEN(RSA!C47)=0),"",MOD(J112,2))</f>
        <v>0</v>
      </c>
      <c r="M112" s="1">
        <f>IF(OR(RSA!$C$12&lt;&gt;"Ready",LEN(RSA!C47)=0),"",O111)</f>
        <v>32</v>
      </c>
      <c r="N112" s="1">
        <f>IF(OR(RSA!$C$12&lt;&gt;"Ready",LEN(RSA!C47)=0),"",IF(L112=1,K112,1))</f>
        <v>1</v>
      </c>
      <c r="O112" s="1">
        <f>IF(OR(RSA!$C$12&lt;&gt;"Ready",LEN(RSA!C47)=0),"",MOD(M112*N112,RSA!$C$16))</f>
        <v>32</v>
      </c>
    </row>
    <row r="113" spans="1:15" ht="21.95" customHeight="1">
      <c r="A113" s="1">
        <v>14</v>
      </c>
      <c r="B113" s="1">
        <f>IF(OR(RSA!$C$12&lt;&gt;"Ready",LEN(RSA!C47)=0),"",INT(B112/2))</f>
        <v>0</v>
      </c>
      <c r="C113" s="1">
        <f>IF(OR(RSA!$C$12&lt;&gt;"Ready",LEN(RSA!C47)=0),"",MOD(C112*C112,RSA!$C$16))</f>
        <v>42</v>
      </c>
      <c r="D113" s="1">
        <f>IF(OR(RSA!$C$12&lt;&gt;"Ready",LEN(RSA!C47)=0),"",MOD(B113,2))</f>
        <v>0</v>
      </c>
      <c r="E113" s="1">
        <f>IF(OR(RSA!$C$12&lt;&gt;"Ready",LEN(RSA!C47)=0),"",G112)</f>
        <v>501</v>
      </c>
      <c r="F113" s="1">
        <f>IF(OR(RSA!$C$12&lt;&gt;"Ready",LEN(RSA!C47)=0),"",IF(D113=1,C113,1))</f>
        <v>1</v>
      </c>
      <c r="G113" s="12">
        <f>IF(OR(RSA!$C$12&lt;&gt;"Ready",LEN(RSA!C47)=0),"",MOD(E113*F113,RSA!$C$16))</f>
        <v>501</v>
      </c>
      <c r="H113" s="1"/>
      <c r="I113" s="1">
        <v>14</v>
      </c>
      <c r="J113" s="1">
        <f>IF(OR(RSA!$C$12&lt;&gt;"Ready",LEN(RSA!C47)=0),"",INT(J112/2))</f>
        <v>0</v>
      </c>
      <c r="K113" s="1">
        <f>IF(OR(RSA!$C$12&lt;&gt;"Ready",LEN(RSA!C47)=0),"",MOD(K112*K112,RSA!$C$16))</f>
        <v>42</v>
      </c>
      <c r="L113" s="1">
        <f>IF(OR(RSA!$C$12&lt;&gt;"Ready",LEN(RSA!C47)=0),"",MOD(J113,2))</f>
        <v>0</v>
      </c>
      <c r="M113" s="1">
        <f>IF(OR(RSA!$C$12&lt;&gt;"Ready",LEN(RSA!C47)=0),"",O112)</f>
        <v>32</v>
      </c>
      <c r="N113" s="1">
        <f>IF(OR(RSA!$C$12&lt;&gt;"Ready",LEN(RSA!C47)=0),"",IF(L113=1,K113,1))</f>
        <v>1</v>
      </c>
      <c r="O113" s="12">
        <f>IF(OR(RSA!$C$12&lt;&gt;"Ready",LEN(RSA!C47)=0),"",MOD(M113*N113,RSA!$C$16))</f>
        <v>32</v>
      </c>
    </row>
    <row r="114" spans="1:15" ht="21.9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21.9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21.95" customHeight="1">
      <c r="A116" s="1" t="s">
        <v>94</v>
      </c>
      <c r="B116" s="1"/>
      <c r="C116" s="1"/>
      <c r="D116" s="1"/>
      <c r="E116" s="1"/>
      <c r="F116" s="1"/>
      <c r="G116" s="1"/>
      <c r="H116" s="1"/>
      <c r="I116" s="1" t="s">
        <v>95</v>
      </c>
      <c r="J116" s="1"/>
      <c r="K116" s="1"/>
      <c r="L116" s="1"/>
      <c r="M116" s="1"/>
      <c r="N116" s="1"/>
      <c r="O116" s="1"/>
    </row>
    <row r="117" spans="1:15" ht="32.1" customHeight="1">
      <c r="A117" s="4" t="s">
        <v>77</v>
      </c>
      <c r="B117" s="4" t="s">
        <v>78</v>
      </c>
      <c r="C117" s="4" t="s">
        <v>79</v>
      </c>
      <c r="D117" s="4" t="s">
        <v>80</v>
      </c>
      <c r="E117" s="4" t="s">
        <v>81</v>
      </c>
      <c r="F117" s="4" t="s">
        <v>82</v>
      </c>
      <c r="G117" s="4" t="s">
        <v>83</v>
      </c>
      <c r="H117" s="1"/>
      <c r="I117" s="4" t="s">
        <v>77</v>
      </c>
      <c r="J117" s="4" t="s">
        <v>78</v>
      </c>
      <c r="K117" s="4" t="s">
        <v>79</v>
      </c>
      <c r="L117" s="4" t="s">
        <v>80</v>
      </c>
      <c r="M117" s="4" t="s">
        <v>81</v>
      </c>
      <c r="N117" s="4" t="s">
        <v>82</v>
      </c>
      <c r="O117" s="4" t="s">
        <v>83</v>
      </c>
    </row>
    <row r="118" spans="1:15" ht="21.95" customHeight="1">
      <c r="A118" s="1">
        <v>1</v>
      </c>
      <c r="B118" s="1">
        <f>IF(OR(RSA!$C$12&lt;&gt;"Ready",LEN(RSA!C48)=0),"",RSA!$C$18)</f>
        <v>7</v>
      </c>
      <c r="C118" s="1">
        <f>IF(OR(RSA!$C$12&lt;&gt;"Ready",LEN(RSA!C48)=0),"",RSA!D48)</f>
        <v>119</v>
      </c>
      <c r="D118" s="1">
        <f>IF(OR(RSA!$C$12&lt;&gt;"Ready",LEN(RSA!C48)=0),"",MOD(B118,2))</f>
        <v>1</v>
      </c>
      <c r="E118" s="1">
        <f>IF(OR(RSA!$C$12&lt;&gt;"Ready",LEN(RSA!C48)=0),"",1)</f>
        <v>1</v>
      </c>
      <c r="F118" s="1">
        <f>IF(OR(RSA!$C$12&lt;&gt;"Ready",LEN(RSA!C48)=0),"",IF(D118=1,C118,1))</f>
        <v>119</v>
      </c>
      <c r="G118" s="1">
        <f>IF(OR(RSA!$C$12&lt;&gt;"Ready",LEN(RSA!C48)=0),"",MOD(E118*F118,RSA!$C$16))</f>
        <v>119</v>
      </c>
      <c r="H118" s="1"/>
      <c r="I118" s="1">
        <v>1</v>
      </c>
      <c r="J118" s="1">
        <f>IF(OR(RSA!$C$12&lt;&gt;"Ready",LEN(RSA!C48)=0),"",RSA!$C$19)</f>
        <v>343</v>
      </c>
      <c r="K118" s="1">
        <f>IF(OR(RSA!$C$12&lt;&gt;"Ready",LEN(RSA!C48)=0),"",RSA!F48)</f>
        <v>180</v>
      </c>
      <c r="L118" s="1">
        <f>IF(OR(RSA!$C$12&lt;&gt;"Ready",LEN(RSA!C48)=0),"",MOD(J118,2))</f>
        <v>1</v>
      </c>
      <c r="M118" s="1">
        <f>IF(OR(RSA!$C$12&lt;&gt;"Ready",LEN(RSA!C48)=0),"",1)</f>
        <v>1</v>
      </c>
      <c r="N118" s="1">
        <f>IF(OR(RSA!$C$12&lt;&gt;"Ready",LEN(RSA!C48)=0),"",IF(L118=1,K118,1))</f>
        <v>180</v>
      </c>
      <c r="O118" s="1">
        <f>IF(OR(RSA!$C$12&lt;&gt;"Ready",LEN(RSA!C48)=0),"",MOD(M118*N118,RSA!$C$16))</f>
        <v>180</v>
      </c>
    </row>
    <row r="119" spans="1:15" ht="21.95" customHeight="1">
      <c r="A119" s="1">
        <v>2</v>
      </c>
      <c r="B119" s="1">
        <f>IF(OR(RSA!$C$12&lt;&gt;"Ready",LEN(RSA!C48)=0),"",INT(B118/2))</f>
        <v>3</v>
      </c>
      <c r="C119" s="1">
        <f>IF(OR(RSA!$C$12&lt;&gt;"Ready",LEN(RSA!C48)=0),"",MOD(C118*C118,RSA!$C$16))</f>
        <v>303</v>
      </c>
      <c r="D119" s="1">
        <f>IF(OR(RSA!$C$12&lt;&gt;"Ready",LEN(RSA!C48)=0),"",MOD(B119,2))</f>
        <v>1</v>
      </c>
      <c r="E119" s="1">
        <f>IF(OR(RSA!$C$12&lt;&gt;"Ready",LEN(RSA!C48)=0),"",G118)</f>
        <v>119</v>
      </c>
      <c r="F119" s="1">
        <f>IF(OR(RSA!$C$12&lt;&gt;"Ready",LEN(RSA!C48)=0),"",IF(D119=1,C119,1))</f>
        <v>303</v>
      </c>
      <c r="G119" s="1">
        <f>IF(OR(RSA!$C$12&lt;&gt;"Ready",LEN(RSA!C48)=0),"",MOD(E119*F119,RSA!$C$16))</f>
        <v>346</v>
      </c>
      <c r="H119" s="1"/>
      <c r="I119" s="1">
        <v>2</v>
      </c>
      <c r="J119" s="1">
        <f>IF(OR(RSA!$C$12&lt;&gt;"Ready",LEN(RSA!C48)=0),"",INT(J118/2))</f>
        <v>171</v>
      </c>
      <c r="K119" s="1">
        <f>IF(OR(RSA!$C$12&lt;&gt;"Ready",LEN(RSA!C48)=0),"",MOD(K118*K118,RSA!$C$16))</f>
        <v>420</v>
      </c>
      <c r="L119" s="1">
        <f>IF(OR(RSA!$C$12&lt;&gt;"Ready",LEN(RSA!C48)=0),"",MOD(J119,2))</f>
        <v>1</v>
      </c>
      <c r="M119" s="1">
        <f>IF(OR(RSA!$C$12&lt;&gt;"Ready",LEN(RSA!C48)=0),"",O118)</f>
        <v>180</v>
      </c>
      <c r="N119" s="1">
        <f>IF(OR(RSA!$C$12&lt;&gt;"Ready",LEN(RSA!C48)=0),"",IF(L119=1,K119,1))</f>
        <v>420</v>
      </c>
      <c r="O119" s="1">
        <f>IF(OR(RSA!$C$12&lt;&gt;"Ready",LEN(RSA!C48)=0),"",MOD(M119*N119,RSA!$C$16))</f>
        <v>447</v>
      </c>
    </row>
    <row r="120" spans="1:15" ht="21.95" customHeight="1">
      <c r="A120" s="1">
        <v>3</v>
      </c>
      <c r="B120" s="1">
        <f>IF(OR(RSA!$C$12&lt;&gt;"Ready",LEN(RSA!C48)=0),"",INT(B119/2))</f>
        <v>1</v>
      </c>
      <c r="C120" s="1">
        <f>IF(OR(RSA!$C$12&lt;&gt;"Ready",LEN(RSA!C48)=0),"",MOD(C119*C119,RSA!$C$16))</f>
        <v>133</v>
      </c>
      <c r="D120" s="1">
        <f>IF(OR(RSA!$C$12&lt;&gt;"Ready",LEN(RSA!C48)=0),"",MOD(B120,2))</f>
        <v>1</v>
      </c>
      <c r="E120" s="1">
        <f>IF(OR(RSA!$C$12&lt;&gt;"Ready",LEN(RSA!C48)=0),"",G119)</f>
        <v>346</v>
      </c>
      <c r="F120" s="1">
        <f>IF(OR(RSA!$C$12&lt;&gt;"Ready",LEN(RSA!C48)=0),"",IF(D120=1,C120,1))</f>
        <v>133</v>
      </c>
      <c r="G120" s="1">
        <f>IF(OR(RSA!$C$12&lt;&gt;"Ready",LEN(RSA!C48)=0),"",MOD(E120*F120,RSA!$C$16))</f>
        <v>180</v>
      </c>
      <c r="H120" s="1"/>
      <c r="I120" s="1">
        <v>3</v>
      </c>
      <c r="J120" s="1">
        <f>IF(OR(RSA!$C$12&lt;&gt;"Ready",LEN(RSA!C48)=0),"",INT(J119/2))</f>
        <v>85</v>
      </c>
      <c r="K120" s="1">
        <f>IF(OR(RSA!$C$12&lt;&gt;"Ready",LEN(RSA!C48)=0),"",MOD(K119*K119,RSA!$C$16))</f>
        <v>510</v>
      </c>
      <c r="L120" s="1">
        <f>IF(OR(RSA!$C$12&lt;&gt;"Ready",LEN(RSA!C48)=0),"",MOD(J120,2))</f>
        <v>1</v>
      </c>
      <c r="M120" s="1">
        <f>IF(OR(RSA!$C$12&lt;&gt;"Ready",LEN(RSA!C48)=0),"",O119)</f>
        <v>447</v>
      </c>
      <c r="N120" s="1">
        <f>IF(OR(RSA!$C$12&lt;&gt;"Ready",LEN(RSA!C48)=0),"",IF(L120=1,K120,1))</f>
        <v>510</v>
      </c>
      <c r="O120" s="1">
        <f>IF(OR(RSA!$C$12&lt;&gt;"Ready",LEN(RSA!C48)=0),"",MOD(M120*N120,RSA!$C$16))</f>
        <v>379</v>
      </c>
    </row>
    <row r="121" spans="1:15" ht="21.95" customHeight="1">
      <c r="A121" s="1">
        <v>4</v>
      </c>
      <c r="B121" s="1">
        <f>IF(OR(RSA!$C$12&lt;&gt;"Ready",LEN(RSA!C48)=0),"",INT(B120/2))</f>
        <v>0</v>
      </c>
      <c r="C121" s="1">
        <f>IF(OR(RSA!$C$12&lt;&gt;"Ready",LEN(RSA!C48)=0),"",MOD(C120*C120,RSA!$C$16))</f>
        <v>100</v>
      </c>
      <c r="D121" s="1">
        <f>IF(OR(RSA!$C$12&lt;&gt;"Ready",LEN(RSA!C48)=0),"",MOD(B121,2))</f>
        <v>0</v>
      </c>
      <c r="E121" s="1">
        <f>IF(OR(RSA!$C$12&lt;&gt;"Ready",LEN(RSA!C48)=0),"",G120)</f>
        <v>180</v>
      </c>
      <c r="F121" s="1">
        <f>IF(OR(RSA!$C$12&lt;&gt;"Ready",LEN(RSA!C48)=0),"",IF(D121=1,C121,1))</f>
        <v>1</v>
      </c>
      <c r="G121" s="1">
        <f>IF(OR(RSA!$C$12&lt;&gt;"Ready",LEN(RSA!C48)=0),"",MOD(E121*F121,RSA!$C$16))</f>
        <v>180</v>
      </c>
      <c r="H121" s="1"/>
      <c r="I121" s="1">
        <v>4</v>
      </c>
      <c r="J121" s="1">
        <f>IF(OR(RSA!$C$12&lt;&gt;"Ready",LEN(RSA!C48)=0),"",INT(J120/2))</f>
        <v>42</v>
      </c>
      <c r="K121" s="1">
        <f>IF(OR(RSA!$C$12&lt;&gt;"Ready",LEN(RSA!C48)=0),"",MOD(K120*K120,RSA!$C$16))</f>
        <v>529</v>
      </c>
      <c r="L121" s="1">
        <f>IF(OR(RSA!$C$12&lt;&gt;"Ready",LEN(RSA!C48)=0),"",MOD(J121,2))</f>
        <v>0</v>
      </c>
      <c r="M121" s="1">
        <f>IF(OR(RSA!$C$12&lt;&gt;"Ready",LEN(RSA!C48)=0),"",O120)</f>
        <v>379</v>
      </c>
      <c r="N121" s="1">
        <f>IF(OR(RSA!$C$12&lt;&gt;"Ready",LEN(RSA!C48)=0),"",IF(L121=1,K121,1))</f>
        <v>1</v>
      </c>
      <c r="O121" s="1">
        <f>IF(OR(RSA!$C$12&lt;&gt;"Ready",LEN(RSA!C48)=0),"",MOD(M121*N121,RSA!$C$16))</f>
        <v>379</v>
      </c>
    </row>
    <row r="122" spans="1:15" ht="21.95" customHeight="1">
      <c r="A122" s="1">
        <v>5</v>
      </c>
      <c r="B122" s="1">
        <f>IF(OR(RSA!$C$12&lt;&gt;"Ready",LEN(RSA!C48)=0),"",INT(B121/2))</f>
        <v>0</v>
      </c>
      <c r="C122" s="1">
        <f>IF(OR(RSA!$C$12&lt;&gt;"Ready",LEN(RSA!C48)=0),"",MOD(C121*C121,RSA!$C$16))</f>
        <v>406</v>
      </c>
      <c r="D122" s="1">
        <f>IF(OR(RSA!$C$12&lt;&gt;"Ready",LEN(RSA!C48)=0),"",MOD(B122,2))</f>
        <v>0</v>
      </c>
      <c r="E122" s="1">
        <f>IF(OR(RSA!$C$12&lt;&gt;"Ready",LEN(RSA!C48)=0),"",G121)</f>
        <v>180</v>
      </c>
      <c r="F122" s="1">
        <f>IF(OR(RSA!$C$12&lt;&gt;"Ready",LEN(RSA!C48)=0),"",IF(D122=1,C122,1))</f>
        <v>1</v>
      </c>
      <c r="G122" s="1">
        <f>IF(OR(RSA!$C$12&lt;&gt;"Ready",LEN(RSA!C48)=0),"",MOD(E122*F122,RSA!$C$16))</f>
        <v>180</v>
      </c>
      <c r="H122" s="1"/>
      <c r="I122" s="1">
        <v>5</v>
      </c>
      <c r="J122" s="1">
        <f>IF(OR(RSA!$C$12&lt;&gt;"Ready",LEN(RSA!C48)=0),"",INT(J121/2))</f>
        <v>21</v>
      </c>
      <c r="K122" s="1">
        <f>IF(OR(RSA!$C$12&lt;&gt;"Ready",LEN(RSA!C48)=0),"",MOD(K121*K121,RSA!$C$16))</f>
        <v>16</v>
      </c>
      <c r="L122" s="1">
        <f>IF(OR(RSA!$C$12&lt;&gt;"Ready",LEN(RSA!C48)=0),"",MOD(J122,2))</f>
        <v>1</v>
      </c>
      <c r="M122" s="1">
        <f>IF(OR(RSA!$C$12&lt;&gt;"Ready",LEN(RSA!C48)=0),"",O121)</f>
        <v>379</v>
      </c>
      <c r="N122" s="1">
        <f>IF(OR(RSA!$C$12&lt;&gt;"Ready",LEN(RSA!C48)=0),"",IF(L122=1,K122,1))</f>
        <v>16</v>
      </c>
      <c r="O122" s="1">
        <f>IF(OR(RSA!$C$12&lt;&gt;"Ready",LEN(RSA!C48)=0),"",MOD(M122*N122,RSA!$C$16))</f>
        <v>201</v>
      </c>
    </row>
    <row r="123" spans="1:15" ht="21.95" customHeight="1">
      <c r="A123" s="1">
        <v>6</v>
      </c>
      <c r="B123" s="1">
        <f>IF(OR(RSA!$C$12&lt;&gt;"Ready",LEN(RSA!C48)=0),"",INT(B122/2))</f>
        <v>0</v>
      </c>
      <c r="C123" s="1">
        <f>IF(OR(RSA!$C$12&lt;&gt;"Ready",LEN(RSA!C48)=0),"",MOD(C122*C122,RSA!$C$16))</f>
        <v>139</v>
      </c>
      <c r="D123" s="1">
        <f>IF(OR(RSA!$C$12&lt;&gt;"Ready",LEN(RSA!C48)=0),"",MOD(B123,2))</f>
        <v>0</v>
      </c>
      <c r="E123" s="1">
        <f>IF(OR(RSA!$C$12&lt;&gt;"Ready",LEN(RSA!C48)=0),"",G122)</f>
        <v>180</v>
      </c>
      <c r="F123" s="1">
        <f>IF(OR(RSA!$C$12&lt;&gt;"Ready",LEN(RSA!C48)=0),"",IF(D123=1,C123,1))</f>
        <v>1</v>
      </c>
      <c r="G123" s="1">
        <f>IF(OR(RSA!$C$12&lt;&gt;"Ready",LEN(RSA!C48)=0),"",MOD(E123*F123,RSA!$C$16))</f>
        <v>180</v>
      </c>
      <c r="H123" s="1"/>
      <c r="I123" s="1">
        <v>6</v>
      </c>
      <c r="J123" s="1">
        <f>IF(OR(RSA!$C$12&lt;&gt;"Ready",LEN(RSA!C48)=0),"",INT(J122/2))</f>
        <v>10</v>
      </c>
      <c r="K123" s="1">
        <f>IF(OR(RSA!$C$12&lt;&gt;"Ready",LEN(RSA!C48)=0),"",MOD(K122*K122,RSA!$C$16))</f>
        <v>256</v>
      </c>
      <c r="L123" s="1">
        <f>IF(OR(RSA!$C$12&lt;&gt;"Ready",LEN(RSA!C48)=0),"",MOD(J123,2))</f>
        <v>0</v>
      </c>
      <c r="M123" s="1">
        <f>IF(OR(RSA!$C$12&lt;&gt;"Ready",LEN(RSA!C48)=0),"",O122)</f>
        <v>201</v>
      </c>
      <c r="N123" s="1">
        <f>IF(OR(RSA!$C$12&lt;&gt;"Ready",LEN(RSA!C48)=0),"",IF(L123=1,K123,1))</f>
        <v>1</v>
      </c>
      <c r="O123" s="1">
        <f>IF(OR(RSA!$C$12&lt;&gt;"Ready",LEN(RSA!C48)=0),"",MOD(M123*N123,RSA!$C$16))</f>
        <v>201</v>
      </c>
    </row>
    <row r="124" spans="1:15" ht="21.95" customHeight="1">
      <c r="A124" s="1">
        <v>7</v>
      </c>
      <c r="B124" s="1">
        <f>IF(OR(RSA!$C$12&lt;&gt;"Ready",LEN(RSA!C48)=0),"",INT(B123/2))</f>
        <v>0</v>
      </c>
      <c r="C124" s="1">
        <f>IF(OR(RSA!$C$12&lt;&gt;"Ready",LEN(RSA!C48)=0),"",MOD(C123*C123,RSA!$C$16))</f>
        <v>133</v>
      </c>
      <c r="D124" s="1">
        <f>IF(OR(RSA!$C$12&lt;&gt;"Ready",LEN(RSA!C48)=0),"",MOD(B124,2))</f>
        <v>0</v>
      </c>
      <c r="E124" s="1">
        <f>IF(OR(RSA!$C$12&lt;&gt;"Ready",LEN(RSA!C48)=0),"",G123)</f>
        <v>180</v>
      </c>
      <c r="F124" s="1">
        <f>IF(OR(RSA!$C$12&lt;&gt;"Ready",LEN(RSA!C48)=0),"",IF(D124=1,C124,1))</f>
        <v>1</v>
      </c>
      <c r="G124" s="1">
        <f>IF(OR(RSA!$C$12&lt;&gt;"Ready",LEN(RSA!C48)=0),"",MOD(E124*F124,RSA!$C$16))</f>
        <v>180</v>
      </c>
      <c r="H124" s="1"/>
      <c r="I124" s="1">
        <v>7</v>
      </c>
      <c r="J124" s="1">
        <f>IF(OR(RSA!$C$12&lt;&gt;"Ready",LEN(RSA!C48)=0),"",INT(J123/2))</f>
        <v>5</v>
      </c>
      <c r="K124" s="1">
        <f>IF(OR(RSA!$C$12&lt;&gt;"Ready",LEN(RSA!C48)=0),"",MOD(K123*K123,RSA!$C$16))</f>
        <v>510</v>
      </c>
      <c r="L124" s="1">
        <f>IF(OR(RSA!$C$12&lt;&gt;"Ready",LEN(RSA!C48)=0),"",MOD(J124,2))</f>
        <v>1</v>
      </c>
      <c r="M124" s="1">
        <f>IF(OR(RSA!$C$12&lt;&gt;"Ready",LEN(RSA!C48)=0),"",O123)</f>
        <v>201</v>
      </c>
      <c r="N124" s="1">
        <f>IF(OR(RSA!$C$12&lt;&gt;"Ready",LEN(RSA!C48)=0),"",IF(L124=1,K124,1))</f>
        <v>510</v>
      </c>
      <c r="O124" s="1">
        <f>IF(OR(RSA!$C$12&lt;&gt;"Ready",LEN(RSA!C48)=0),"",MOD(M124*N124,RSA!$C$16))</f>
        <v>174</v>
      </c>
    </row>
    <row r="125" spans="1:15" ht="21.95" customHeight="1">
      <c r="A125" s="1">
        <v>8</v>
      </c>
      <c r="B125" s="1">
        <f>IF(OR(RSA!$C$12&lt;&gt;"Ready",LEN(RSA!C48)=0),"",INT(B124/2))</f>
        <v>0</v>
      </c>
      <c r="C125" s="1">
        <f>IF(OR(RSA!$C$12&lt;&gt;"Ready",LEN(RSA!C48)=0),"",MOD(C124*C124,RSA!$C$16))</f>
        <v>100</v>
      </c>
      <c r="D125" s="1">
        <f>IF(OR(RSA!$C$12&lt;&gt;"Ready",LEN(RSA!C48)=0),"",MOD(B125,2))</f>
        <v>0</v>
      </c>
      <c r="E125" s="1">
        <f>IF(OR(RSA!$C$12&lt;&gt;"Ready",LEN(RSA!C48)=0),"",G124)</f>
        <v>180</v>
      </c>
      <c r="F125" s="1">
        <f>IF(OR(RSA!$C$12&lt;&gt;"Ready",LEN(RSA!C48)=0),"",IF(D125=1,C125,1))</f>
        <v>1</v>
      </c>
      <c r="G125" s="1">
        <f>IF(OR(RSA!$C$12&lt;&gt;"Ready",LEN(RSA!C48)=0),"",MOD(E125*F125,RSA!$C$16))</f>
        <v>180</v>
      </c>
      <c r="H125" s="1"/>
      <c r="I125" s="1">
        <v>8</v>
      </c>
      <c r="J125" s="1">
        <f>IF(OR(RSA!$C$12&lt;&gt;"Ready",LEN(RSA!C48)=0),"",INT(J124/2))</f>
        <v>2</v>
      </c>
      <c r="K125" s="1">
        <f>IF(OR(RSA!$C$12&lt;&gt;"Ready",LEN(RSA!C48)=0),"",MOD(K124*K124,RSA!$C$16))</f>
        <v>529</v>
      </c>
      <c r="L125" s="1">
        <f>IF(OR(RSA!$C$12&lt;&gt;"Ready",LEN(RSA!C48)=0),"",MOD(J125,2))</f>
        <v>0</v>
      </c>
      <c r="M125" s="1">
        <f>IF(OR(RSA!$C$12&lt;&gt;"Ready",LEN(RSA!C48)=0),"",O124)</f>
        <v>174</v>
      </c>
      <c r="N125" s="1">
        <f>IF(OR(RSA!$C$12&lt;&gt;"Ready",LEN(RSA!C48)=0),"",IF(L125=1,K125,1))</f>
        <v>1</v>
      </c>
      <c r="O125" s="1">
        <f>IF(OR(RSA!$C$12&lt;&gt;"Ready",LEN(RSA!C48)=0),"",MOD(M125*N125,RSA!$C$16))</f>
        <v>174</v>
      </c>
    </row>
    <row r="126" spans="1:15" ht="21.95" customHeight="1">
      <c r="A126" s="1">
        <v>9</v>
      </c>
      <c r="B126" s="1">
        <f>IF(OR(RSA!$C$12&lt;&gt;"Ready",LEN(RSA!C48)=0),"",INT(B125/2))</f>
        <v>0</v>
      </c>
      <c r="C126" s="1">
        <f>IF(OR(RSA!$C$12&lt;&gt;"Ready",LEN(RSA!C48)=0),"",MOD(C125*C125,RSA!$C$16))</f>
        <v>406</v>
      </c>
      <c r="D126" s="1">
        <f>IF(OR(RSA!$C$12&lt;&gt;"Ready",LEN(RSA!C48)=0),"",MOD(B126,2))</f>
        <v>0</v>
      </c>
      <c r="E126" s="1">
        <f>IF(OR(RSA!$C$12&lt;&gt;"Ready",LEN(RSA!C48)=0),"",G125)</f>
        <v>180</v>
      </c>
      <c r="F126" s="1">
        <f>IF(OR(RSA!$C$12&lt;&gt;"Ready",LEN(RSA!C48)=0),"",IF(D126=1,C126,1))</f>
        <v>1</v>
      </c>
      <c r="G126" s="1">
        <f>IF(OR(RSA!$C$12&lt;&gt;"Ready",LEN(RSA!C48)=0),"",MOD(E126*F126,RSA!$C$16))</f>
        <v>180</v>
      </c>
      <c r="H126" s="1"/>
      <c r="I126" s="1">
        <v>9</v>
      </c>
      <c r="J126" s="1">
        <f>IF(OR(RSA!$C$12&lt;&gt;"Ready",LEN(RSA!C48)=0),"",INT(J125/2))</f>
        <v>1</v>
      </c>
      <c r="K126" s="1">
        <f>IF(OR(RSA!$C$12&lt;&gt;"Ready",LEN(RSA!C48)=0),"",MOD(K125*K125,RSA!$C$16))</f>
        <v>16</v>
      </c>
      <c r="L126" s="1">
        <f>IF(OR(RSA!$C$12&lt;&gt;"Ready",LEN(RSA!C48)=0),"",MOD(J126,2))</f>
        <v>1</v>
      </c>
      <c r="M126" s="1">
        <f>IF(OR(RSA!$C$12&lt;&gt;"Ready",LEN(RSA!C48)=0),"",O125)</f>
        <v>174</v>
      </c>
      <c r="N126" s="1">
        <f>IF(OR(RSA!$C$12&lt;&gt;"Ready",LEN(RSA!C48)=0),"",IF(L126=1,K126,1))</f>
        <v>16</v>
      </c>
      <c r="O126" s="1">
        <f>IF(OR(RSA!$C$12&lt;&gt;"Ready",LEN(RSA!C48)=0),"",MOD(M126*N126,RSA!$C$16))</f>
        <v>119</v>
      </c>
    </row>
    <row r="127" spans="1:15" ht="21.95" customHeight="1">
      <c r="A127" s="1">
        <v>10</v>
      </c>
      <c r="B127" s="1">
        <f>IF(OR(RSA!$C$12&lt;&gt;"Ready",LEN(RSA!C48)=0),"",INT(B126/2))</f>
        <v>0</v>
      </c>
      <c r="C127" s="1">
        <f>IF(OR(RSA!$C$12&lt;&gt;"Ready",LEN(RSA!C48)=0),"",MOD(C126*C126,RSA!$C$16))</f>
        <v>139</v>
      </c>
      <c r="D127" s="1">
        <f>IF(OR(RSA!$C$12&lt;&gt;"Ready",LEN(RSA!C48)=0),"",MOD(B127,2))</f>
        <v>0</v>
      </c>
      <c r="E127" s="1">
        <f>IF(OR(RSA!$C$12&lt;&gt;"Ready",LEN(RSA!C48)=0),"",G126)</f>
        <v>180</v>
      </c>
      <c r="F127" s="1">
        <f>IF(OR(RSA!$C$12&lt;&gt;"Ready",LEN(RSA!C48)=0),"",IF(D127=1,C127,1))</f>
        <v>1</v>
      </c>
      <c r="G127" s="1">
        <f>IF(OR(RSA!$C$12&lt;&gt;"Ready",LEN(RSA!C48)=0),"",MOD(E127*F127,RSA!$C$16))</f>
        <v>180</v>
      </c>
      <c r="H127" s="1"/>
      <c r="I127" s="1">
        <v>10</v>
      </c>
      <c r="J127" s="1">
        <f>IF(OR(RSA!$C$12&lt;&gt;"Ready",LEN(RSA!C48)=0),"",INT(J126/2))</f>
        <v>0</v>
      </c>
      <c r="K127" s="1">
        <f>IF(OR(RSA!$C$12&lt;&gt;"Ready",LEN(RSA!C48)=0),"",MOD(K126*K126,RSA!$C$16))</f>
        <v>256</v>
      </c>
      <c r="L127" s="1">
        <f>IF(OR(RSA!$C$12&lt;&gt;"Ready",LEN(RSA!C48)=0),"",MOD(J127,2))</f>
        <v>0</v>
      </c>
      <c r="M127" s="1">
        <f>IF(OR(RSA!$C$12&lt;&gt;"Ready",LEN(RSA!C48)=0),"",O126)</f>
        <v>119</v>
      </c>
      <c r="N127" s="1">
        <f>IF(OR(RSA!$C$12&lt;&gt;"Ready",LEN(RSA!C48)=0),"",IF(L127=1,K127,1))</f>
        <v>1</v>
      </c>
      <c r="O127" s="1">
        <f>IF(OR(RSA!$C$12&lt;&gt;"Ready",LEN(RSA!C48)=0),"",MOD(M127*N127,RSA!$C$16))</f>
        <v>119</v>
      </c>
    </row>
    <row r="128" spans="1:15" ht="21.95" customHeight="1">
      <c r="A128" s="1">
        <v>11</v>
      </c>
      <c r="B128" s="1">
        <f>IF(OR(RSA!$C$12&lt;&gt;"Ready",LEN(RSA!C48)=0),"",INT(B127/2))</f>
        <v>0</v>
      </c>
      <c r="C128" s="1">
        <f>IF(OR(RSA!$C$12&lt;&gt;"Ready",LEN(RSA!C48)=0),"",MOD(C127*C127,RSA!$C$16))</f>
        <v>133</v>
      </c>
      <c r="D128" s="1">
        <f>IF(OR(RSA!$C$12&lt;&gt;"Ready",LEN(RSA!C48)=0),"",MOD(B128,2))</f>
        <v>0</v>
      </c>
      <c r="E128" s="1">
        <f>IF(OR(RSA!$C$12&lt;&gt;"Ready",LEN(RSA!C48)=0),"",G127)</f>
        <v>180</v>
      </c>
      <c r="F128" s="1">
        <f>IF(OR(RSA!$C$12&lt;&gt;"Ready",LEN(RSA!C48)=0),"",IF(D128=1,C128,1))</f>
        <v>1</v>
      </c>
      <c r="G128" s="1">
        <f>IF(OR(RSA!$C$12&lt;&gt;"Ready",LEN(RSA!C48)=0),"",MOD(E128*F128,RSA!$C$16))</f>
        <v>180</v>
      </c>
      <c r="H128" s="1"/>
      <c r="I128" s="1">
        <v>11</v>
      </c>
      <c r="J128" s="1">
        <f>IF(OR(RSA!$C$12&lt;&gt;"Ready",LEN(RSA!C48)=0),"",INT(J127/2))</f>
        <v>0</v>
      </c>
      <c r="K128" s="1">
        <f>IF(OR(RSA!$C$12&lt;&gt;"Ready",LEN(RSA!C48)=0),"",MOD(K127*K127,RSA!$C$16))</f>
        <v>510</v>
      </c>
      <c r="L128" s="1">
        <f>IF(OR(RSA!$C$12&lt;&gt;"Ready",LEN(RSA!C48)=0),"",MOD(J128,2))</f>
        <v>0</v>
      </c>
      <c r="M128" s="1">
        <f>IF(OR(RSA!$C$12&lt;&gt;"Ready",LEN(RSA!C48)=0),"",O127)</f>
        <v>119</v>
      </c>
      <c r="N128" s="1">
        <f>IF(OR(RSA!$C$12&lt;&gt;"Ready",LEN(RSA!C48)=0),"",IF(L128=1,K128,1))</f>
        <v>1</v>
      </c>
      <c r="O128" s="1">
        <f>IF(OR(RSA!$C$12&lt;&gt;"Ready",LEN(RSA!C48)=0),"",MOD(M128*N128,RSA!$C$16))</f>
        <v>119</v>
      </c>
    </row>
    <row r="129" spans="1:15" ht="21.95" customHeight="1">
      <c r="A129" s="1">
        <v>12</v>
      </c>
      <c r="B129" s="1">
        <f>IF(OR(RSA!$C$12&lt;&gt;"Ready",LEN(RSA!C48)=0),"",INT(B128/2))</f>
        <v>0</v>
      </c>
      <c r="C129" s="1">
        <f>IF(OR(RSA!$C$12&lt;&gt;"Ready",LEN(RSA!C48)=0),"",MOD(C128*C128,RSA!$C$16))</f>
        <v>100</v>
      </c>
      <c r="D129" s="1">
        <f>IF(OR(RSA!$C$12&lt;&gt;"Ready",LEN(RSA!C48)=0),"",MOD(B129,2))</f>
        <v>0</v>
      </c>
      <c r="E129" s="1">
        <f>IF(OR(RSA!$C$12&lt;&gt;"Ready",LEN(RSA!C48)=0),"",G128)</f>
        <v>180</v>
      </c>
      <c r="F129" s="1">
        <f>IF(OR(RSA!$C$12&lt;&gt;"Ready",LEN(RSA!C48)=0),"",IF(D129=1,C129,1))</f>
        <v>1</v>
      </c>
      <c r="G129" s="1">
        <f>IF(OR(RSA!$C$12&lt;&gt;"Ready",LEN(RSA!C48)=0),"",MOD(E129*F129,RSA!$C$16))</f>
        <v>180</v>
      </c>
      <c r="H129" s="1"/>
      <c r="I129" s="1">
        <v>12</v>
      </c>
      <c r="J129" s="1">
        <f>IF(OR(RSA!$C$12&lt;&gt;"Ready",LEN(RSA!C48)=0),"",INT(J128/2))</f>
        <v>0</v>
      </c>
      <c r="K129" s="1">
        <f>IF(OR(RSA!$C$12&lt;&gt;"Ready",LEN(RSA!C48)=0),"",MOD(K128*K128,RSA!$C$16))</f>
        <v>529</v>
      </c>
      <c r="L129" s="1">
        <f>IF(OR(RSA!$C$12&lt;&gt;"Ready",LEN(RSA!C48)=0),"",MOD(J129,2))</f>
        <v>0</v>
      </c>
      <c r="M129" s="1">
        <f>IF(OR(RSA!$C$12&lt;&gt;"Ready",LEN(RSA!C48)=0),"",O128)</f>
        <v>119</v>
      </c>
      <c r="N129" s="1">
        <f>IF(OR(RSA!$C$12&lt;&gt;"Ready",LEN(RSA!C48)=0),"",IF(L129=1,K129,1))</f>
        <v>1</v>
      </c>
      <c r="O129" s="1">
        <f>IF(OR(RSA!$C$12&lt;&gt;"Ready",LEN(RSA!C48)=0),"",MOD(M129*N129,RSA!$C$16))</f>
        <v>119</v>
      </c>
    </row>
    <row r="130" spans="1:15" ht="21.95" customHeight="1">
      <c r="A130" s="1">
        <v>13</v>
      </c>
      <c r="B130" s="1">
        <f>IF(OR(RSA!$C$12&lt;&gt;"Ready",LEN(RSA!C48)=0),"",INT(B129/2))</f>
        <v>0</v>
      </c>
      <c r="C130" s="1">
        <f>IF(OR(RSA!$C$12&lt;&gt;"Ready",LEN(RSA!C48)=0),"",MOD(C129*C129,RSA!$C$16))</f>
        <v>406</v>
      </c>
      <c r="D130" s="1">
        <f>IF(OR(RSA!$C$12&lt;&gt;"Ready",LEN(RSA!C48)=0),"",MOD(B130,2))</f>
        <v>0</v>
      </c>
      <c r="E130" s="1">
        <f>IF(OR(RSA!$C$12&lt;&gt;"Ready",LEN(RSA!C48)=0),"",G129)</f>
        <v>180</v>
      </c>
      <c r="F130" s="1">
        <f>IF(OR(RSA!$C$12&lt;&gt;"Ready",LEN(RSA!C48)=0),"",IF(D130=1,C130,1))</f>
        <v>1</v>
      </c>
      <c r="G130" s="1">
        <f>IF(OR(RSA!$C$12&lt;&gt;"Ready",LEN(RSA!C48)=0),"",MOD(E130*F130,RSA!$C$16))</f>
        <v>180</v>
      </c>
      <c r="H130" s="1"/>
      <c r="I130" s="1">
        <v>13</v>
      </c>
      <c r="J130" s="1">
        <f>IF(OR(RSA!$C$12&lt;&gt;"Ready",LEN(RSA!C48)=0),"",INT(J129/2))</f>
        <v>0</v>
      </c>
      <c r="K130" s="1">
        <f>IF(OR(RSA!$C$12&lt;&gt;"Ready",LEN(RSA!C48)=0),"",MOD(K129*K129,RSA!$C$16))</f>
        <v>16</v>
      </c>
      <c r="L130" s="1">
        <f>IF(OR(RSA!$C$12&lt;&gt;"Ready",LEN(RSA!C48)=0),"",MOD(J130,2))</f>
        <v>0</v>
      </c>
      <c r="M130" s="1">
        <f>IF(OR(RSA!$C$12&lt;&gt;"Ready",LEN(RSA!C48)=0),"",O129)</f>
        <v>119</v>
      </c>
      <c r="N130" s="1">
        <f>IF(OR(RSA!$C$12&lt;&gt;"Ready",LEN(RSA!C48)=0),"",IF(L130=1,K130,1))</f>
        <v>1</v>
      </c>
      <c r="O130" s="1">
        <f>IF(OR(RSA!$C$12&lt;&gt;"Ready",LEN(RSA!C48)=0),"",MOD(M130*N130,RSA!$C$16))</f>
        <v>119</v>
      </c>
    </row>
    <row r="131" spans="1:15" ht="21.95" customHeight="1">
      <c r="A131" s="1">
        <v>14</v>
      </c>
      <c r="B131" s="1">
        <f>IF(OR(RSA!$C$12&lt;&gt;"Ready",LEN(RSA!C48)=0),"",INT(B130/2))</f>
        <v>0</v>
      </c>
      <c r="C131" s="1">
        <f>IF(OR(RSA!$C$12&lt;&gt;"Ready",LEN(RSA!C48)=0),"",MOD(C130*C130,RSA!$C$16))</f>
        <v>139</v>
      </c>
      <c r="D131" s="1">
        <f>IF(OR(RSA!$C$12&lt;&gt;"Ready",LEN(RSA!C48)=0),"",MOD(B131,2))</f>
        <v>0</v>
      </c>
      <c r="E131" s="1">
        <f>IF(OR(RSA!$C$12&lt;&gt;"Ready",LEN(RSA!C48)=0),"",G130)</f>
        <v>180</v>
      </c>
      <c r="F131" s="1">
        <f>IF(OR(RSA!$C$12&lt;&gt;"Ready",LEN(RSA!C48)=0),"",IF(D131=1,C131,1))</f>
        <v>1</v>
      </c>
      <c r="G131" s="12">
        <f>IF(OR(RSA!$C$12&lt;&gt;"Ready",LEN(RSA!C48)=0),"",MOD(E131*F131,RSA!$C$16))</f>
        <v>180</v>
      </c>
      <c r="H131" s="1"/>
      <c r="I131" s="1">
        <v>14</v>
      </c>
      <c r="J131" s="1">
        <f>IF(OR(RSA!$C$12&lt;&gt;"Ready",LEN(RSA!C48)=0),"",INT(J130/2))</f>
        <v>0</v>
      </c>
      <c r="K131" s="1">
        <f>IF(OR(RSA!$C$12&lt;&gt;"Ready",LEN(RSA!C48)=0),"",MOD(K130*K130,RSA!$C$16))</f>
        <v>256</v>
      </c>
      <c r="L131" s="1">
        <f>IF(OR(RSA!$C$12&lt;&gt;"Ready",LEN(RSA!C48)=0),"",MOD(J131,2))</f>
        <v>0</v>
      </c>
      <c r="M131" s="1">
        <f>IF(OR(RSA!$C$12&lt;&gt;"Ready",LEN(RSA!C48)=0),"",O130)</f>
        <v>119</v>
      </c>
      <c r="N131" s="1">
        <f>IF(OR(RSA!$C$12&lt;&gt;"Ready",LEN(RSA!C48)=0),"",IF(L131=1,K131,1))</f>
        <v>1</v>
      </c>
      <c r="O131" s="12">
        <f>IF(OR(RSA!$C$12&lt;&gt;"Ready",LEN(RSA!C48)=0),"",MOD(M131*N131,RSA!$C$16))</f>
        <v>119</v>
      </c>
    </row>
    <row r="132" spans="1:15" ht="21.9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21.9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21.95" customHeight="1">
      <c r="A134" s="1" t="s">
        <v>96</v>
      </c>
      <c r="B134" s="1"/>
      <c r="C134" s="1"/>
      <c r="D134" s="1"/>
      <c r="E134" s="1"/>
      <c r="F134" s="1"/>
      <c r="G134" s="1"/>
      <c r="H134" s="1"/>
      <c r="I134" s="1" t="s">
        <v>97</v>
      </c>
      <c r="J134" s="1"/>
      <c r="K134" s="1"/>
      <c r="L134" s="1"/>
      <c r="M134" s="1"/>
      <c r="N134" s="1"/>
      <c r="O134" s="1"/>
    </row>
    <row r="135" spans="1:15" ht="32.1" customHeight="1">
      <c r="A135" s="4" t="s">
        <v>77</v>
      </c>
      <c r="B135" s="4" t="s">
        <v>78</v>
      </c>
      <c r="C135" s="4" t="s">
        <v>79</v>
      </c>
      <c r="D135" s="4" t="s">
        <v>80</v>
      </c>
      <c r="E135" s="4" t="s">
        <v>81</v>
      </c>
      <c r="F135" s="4" t="s">
        <v>82</v>
      </c>
      <c r="G135" s="4" t="s">
        <v>83</v>
      </c>
      <c r="H135" s="1"/>
      <c r="I135" s="4" t="s">
        <v>77</v>
      </c>
      <c r="J135" s="4" t="s">
        <v>78</v>
      </c>
      <c r="K135" s="4" t="s">
        <v>79</v>
      </c>
      <c r="L135" s="4" t="s">
        <v>80</v>
      </c>
      <c r="M135" s="4" t="s">
        <v>81</v>
      </c>
      <c r="N135" s="4" t="s">
        <v>82</v>
      </c>
      <c r="O135" s="4" t="s">
        <v>83</v>
      </c>
    </row>
    <row r="136" spans="1:15" ht="21.95" customHeight="1">
      <c r="A136" s="1">
        <v>1</v>
      </c>
      <c r="B136" s="1">
        <f>IF(OR(RSA!$C$12&lt;&gt;"Ready",LEN(RSA!C49)=0),"",RSA!$C$18)</f>
        <v>7</v>
      </c>
      <c r="C136" s="1">
        <f>IF(OR(RSA!$C$12&lt;&gt;"Ready",LEN(RSA!C49)=0),"",RSA!D49)</f>
        <v>111</v>
      </c>
      <c r="D136" s="1">
        <f>IF(OR(RSA!$C$12&lt;&gt;"Ready",LEN(RSA!C49)=0),"",MOD(B136,2))</f>
        <v>1</v>
      </c>
      <c r="E136" s="1">
        <f>IF(OR(RSA!$C$12&lt;&gt;"Ready",LEN(RSA!C49)=0),"",1)</f>
        <v>1</v>
      </c>
      <c r="F136" s="1">
        <f>IF(OR(RSA!$C$12&lt;&gt;"Ready",LEN(RSA!C49)=0),"",IF(D136=1,C136,1))</f>
        <v>111</v>
      </c>
      <c r="G136" s="1">
        <f>IF(OR(RSA!$C$12&lt;&gt;"Ready",LEN(RSA!C49)=0),"",MOD(E136*F136,RSA!$C$16))</f>
        <v>111</v>
      </c>
      <c r="H136" s="1"/>
      <c r="I136" s="1">
        <v>1</v>
      </c>
      <c r="J136" s="1">
        <f>IF(OR(RSA!$C$12&lt;&gt;"Ready",LEN(RSA!C49)=0),"",RSA!$C$19)</f>
        <v>343</v>
      </c>
      <c r="K136" s="1">
        <f>IF(OR(RSA!$C$12&lt;&gt;"Ready",LEN(RSA!C49)=0),"",RSA!F49)</f>
        <v>19</v>
      </c>
      <c r="L136" s="1">
        <f>IF(OR(RSA!$C$12&lt;&gt;"Ready",LEN(RSA!C49)=0),"",MOD(J136,2))</f>
        <v>1</v>
      </c>
      <c r="M136" s="1">
        <f>IF(OR(RSA!$C$12&lt;&gt;"Ready",LEN(RSA!C49)=0),"",1)</f>
        <v>1</v>
      </c>
      <c r="N136" s="1">
        <f>IF(OR(RSA!$C$12&lt;&gt;"Ready",LEN(RSA!C49)=0),"",IF(L136=1,K136,1))</f>
        <v>19</v>
      </c>
      <c r="O136" s="1">
        <f>IF(OR(RSA!$C$12&lt;&gt;"Ready",LEN(RSA!C49)=0),"",MOD(M136*N136,RSA!$C$16))</f>
        <v>19</v>
      </c>
    </row>
    <row r="137" spans="1:15" ht="21.95" customHeight="1">
      <c r="A137" s="1">
        <v>2</v>
      </c>
      <c r="B137" s="1">
        <f>IF(OR(RSA!$C$12&lt;&gt;"Ready",LEN(RSA!C49)=0),"",INT(B136/2))</f>
        <v>3</v>
      </c>
      <c r="C137" s="1">
        <f>IF(OR(RSA!$C$12&lt;&gt;"Ready",LEN(RSA!C49)=0),"",MOD(C136*C136,RSA!$C$16))</f>
        <v>62</v>
      </c>
      <c r="D137" s="1">
        <f>IF(OR(RSA!$C$12&lt;&gt;"Ready",LEN(RSA!C49)=0),"",MOD(B137,2))</f>
        <v>1</v>
      </c>
      <c r="E137" s="1">
        <f>IF(OR(RSA!$C$12&lt;&gt;"Ready",LEN(RSA!C49)=0),"",G136)</f>
        <v>111</v>
      </c>
      <c r="F137" s="1">
        <f>IF(OR(RSA!$C$12&lt;&gt;"Ready",LEN(RSA!C49)=0),"",IF(D137=1,C137,1))</f>
        <v>62</v>
      </c>
      <c r="G137" s="1">
        <f>IF(OR(RSA!$C$12&lt;&gt;"Ready",LEN(RSA!C49)=0),"",MOD(E137*F137,RSA!$C$16))</f>
        <v>486</v>
      </c>
      <c r="H137" s="1"/>
      <c r="I137" s="1">
        <v>2</v>
      </c>
      <c r="J137" s="1">
        <f>IF(OR(RSA!$C$12&lt;&gt;"Ready",LEN(RSA!C49)=0),"",INT(J136/2))</f>
        <v>171</v>
      </c>
      <c r="K137" s="1">
        <f>IF(OR(RSA!$C$12&lt;&gt;"Ready",LEN(RSA!C49)=0),"",MOD(K136*K136,RSA!$C$16))</f>
        <v>361</v>
      </c>
      <c r="L137" s="1">
        <f>IF(OR(RSA!$C$12&lt;&gt;"Ready",LEN(RSA!C49)=0),"",MOD(J137,2))</f>
        <v>1</v>
      </c>
      <c r="M137" s="1">
        <f>IF(OR(RSA!$C$12&lt;&gt;"Ready",LEN(RSA!C49)=0),"",O136)</f>
        <v>19</v>
      </c>
      <c r="N137" s="1">
        <f>IF(OR(RSA!$C$12&lt;&gt;"Ready",LEN(RSA!C49)=0),"",IF(L137=1,K137,1))</f>
        <v>361</v>
      </c>
      <c r="O137" s="1">
        <f>IF(OR(RSA!$C$12&lt;&gt;"Ready",LEN(RSA!C49)=0),"",MOD(M137*N137,RSA!$C$16))</f>
        <v>463</v>
      </c>
    </row>
    <row r="138" spans="1:15" ht="21.95" customHeight="1">
      <c r="A138" s="1">
        <v>3</v>
      </c>
      <c r="B138" s="1">
        <f>IF(OR(RSA!$C$12&lt;&gt;"Ready",LEN(RSA!C49)=0),"",INT(B137/2))</f>
        <v>1</v>
      </c>
      <c r="C138" s="1">
        <f>IF(OR(RSA!$C$12&lt;&gt;"Ready",LEN(RSA!C49)=0),"",MOD(C137*C137,RSA!$C$16))</f>
        <v>113</v>
      </c>
      <c r="D138" s="1">
        <f>IF(OR(RSA!$C$12&lt;&gt;"Ready",LEN(RSA!C49)=0),"",MOD(B138,2))</f>
        <v>1</v>
      </c>
      <c r="E138" s="1">
        <f>IF(OR(RSA!$C$12&lt;&gt;"Ready",LEN(RSA!C49)=0),"",G137)</f>
        <v>486</v>
      </c>
      <c r="F138" s="1">
        <f>IF(OR(RSA!$C$12&lt;&gt;"Ready",LEN(RSA!C49)=0),"",IF(D138=1,C138,1))</f>
        <v>113</v>
      </c>
      <c r="G138" s="1">
        <f>IF(OR(RSA!$C$12&lt;&gt;"Ready",LEN(RSA!C49)=0),"",MOD(E138*F138,RSA!$C$16))</f>
        <v>19</v>
      </c>
      <c r="H138" s="1"/>
      <c r="I138" s="1">
        <v>3</v>
      </c>
      <c r="J138" s="1">
        <f>IF(OR(RSA!$C$12&lt;&gt;"Ready",LEN(RSA!C49)=0),"",INT(J137/2))</f>
        <v>85</v>
      </c>
      <c r="K138" s="1">
        <f>IF(OR(RSA!$C$12&lt;&gt;"Ready",LEN(RSA!C49)=0),"",MOD(K137*K137,RSA!$C$16))</f>
        <v>269</v>
      </c>
      <c r="L138" s="1">
        <f>IF(OR(RSA!$C$12&lt;&gt;"Ready",LEN(RSA!C49)=0),"",MOD(J138,2))</f>
        <v>1</v>
      </c>
      <c r="M138" s="1">
        <f>IF(OR(RSA!$C$12&lt;&gt;"Ready",LEN(RSA!C49)=0),"",O137)</f>
        <v>463</v>
      </c>
      <c r="N138" s="1">
        <f>IF(OR(RSA!$C$12&lt;&gt;"Ready",LEN(RSA!C49)=0),"",IF(L138=1,K138,1))</f>
        <v>269</v>
      </c>
      <c r="O138" s="1">
        <f>IF(OR(RSA!$C$12&lt;&gt;"Ready",LEN(RSA!C49)=0),"",MOD(M138*N138,RSA!$C$16))</f>
        <v>358</v>
      </c>
    </row>
    <row r="139" spans="1:15" ht="21.95" customHeight="1">
      <c r="A139" s="1">
        <v>4</v>
      </c>
      <c r="B139" s="1">
        <f>IF(OR(RSA!$C$12&lt;&gt;"Ready",LEN(RSA!C49)=0),"",INT(B138/2))</f>
        <v>0</v>
      </c>
      <c r="C139" s="1">
        <f>IF(OR(RSA!$C$12&lt;&gt;"Ready",LEN(RSA!C49)=0),"",MOD(C138*C138,RSA!$C$16))</f>
        <v>510</v>
      </c>
      <c r="D139" s="1">
        <f>IF(OR(RSA!$C$12&lt;&gt;"Ready",LEN(RSA!C49)=0),"",MOD(B139,2))</f>
        <v>0</v>
      </c>
      <c r="E139" s="1">
        <f>IF(OR(RSA!$C$12&lt;&gt;"Ready",LEN(RSA!C49)=0),"",G138)</f>
        <v>19</v>
      </c>
      <c r="F139" s="1">
        <f>IF(OR(RSA!$C$12&lt;&gt;"Ready",LEN(RSA!C49)=0),"",IF(D139=1,C139,1))</f>
        <v>1</v>
      </c>
      <c r="G139" s="1">
        <f>IF(OR(RSA!$C$12&lt;&gt;"Ready",LEN(RSA!C49)=0),"",MOD(E139*F139,RSA!$C$16))</f>
        <v>19</v>
      </c>
      <c r="H139" s="1"/>
      <c r="I139" s="1">
        <v>4</v>
      </c>
      <c r="J139" s="1">
        <f>IF(OR(RSA!$C$12&lt;&gt;"Ready",LEN(RSA!C49)=0),"",INT(J138/2))</f>
        <v>42</v>
      </c>
      <c r="K139" s="1">
        <f>IF(OR(RSA!$C$12&lt;&gt;"Ready",LEN(RSA!C49)=0),"",MOD(K138*K138,RSA!$C$16))</f>
        <v>406</v>
      </c>
      <c r="L139" s="1">
        <f>IF(OR(RSA!$C$12&lt;&gt;"Ready",LEN(RSA!C49)=0),"",MOD(J139,2))</f>
        <v>0</v>
      </c>
      <c r="M139" s="1">
        <f>IF(OR(RSA!$C$12&lt;&gt;"Ready",LEN(RSA!C49)=0),"",O138)</f>
        <v>358</v>
      </c>
      <c r="N139" s="1">
        <f>IF(OR(RSA!$C$12&lt;&gt;"Ready",LEN(RSA!C49)=0),"",IF(L139=1,K139,1))</f>
        <v>1</v>
      </c>
      <c r="O139" s="1">
        <f>IF(OR(RSA!$C$12&lt;&gt;"Ready",LEN(RSA!C49)=0),"",MOD(M139*N139,RSA!$C$16))</f>
        <v>358</v>
      </c>
    </row>
    <row r="140" spans="1:15" ht="21.95" customHeight="1">
      <c r="A140" s="1">
        <v>5</v>
      </c>
      <c r="B140" s="1">
        <f>IF(OR(RSA!$C$12&lt;&gt;"Ready",LEN(RSA!C49)=0),"",INT(B139/2))</f>
        <v>0</v>
      </c>
      <c r="C140" s="1">
        <f>IF(OR(RSA!$C$12&lt;&gt;"Ready",LEN(RSA!C49)=0),"",MOD(C139*C139,RSA!$C$16))</f>
        <v>529</v>
      </c>
      <c r="D140" s="1">
        <f>IF(OR(RSA!$C$12&lt;&gt;"Ready",LEN(RSA!C49)=0),"",MOD(B140,2))</f>
        <v>0</v>
      </c>
      <c r="E140" s="1">
        <f>IF(OR(RSA!$C$12&lt;&gt;"Ready",LEN(RSA!C49)=0),"",G139)</f>
        <v>19</v>
      </c>
      <c r="F140" s="1">
        <f>IF(OR(RSA!$C$12&lt;&gt;"Ready",LEN(RSA!C49)=0),"",IF(D140=1,C140,1))</f>
        <v>1</v>
      </c>
      <c r="G140" s="1">
        <f>IF(OR(RSA!$C$12&lt;&gt;"Ready",LEN(RSA!C49)=0),"",MOD(E140*F140,RSA!$C$16))</f>
        <v>19</v>
      </c>
      <c r="H140" s="1"/>
      <c r="I140" s="1">
        <v>5</v>
      </c>
      <c r="J140" s="1">
        <f>IF(OR(RSA!$C$12&lt;&gt;"Ready",LEN(RSA!C49)=0),"",INT(J139/2))</f>
        <v>21</v>
      </c>
      <c r="K140" s="1">
        <f>IF(OR(RSA!$C$12&lt;&gt;"Ready",LEN(RSA!C49)=0),"",MOD(K139*K139,RSA!$C$16))</f>
        <v>139</v>
      </c>
      <c r="L140" s="1">
        <f>IF(OR(RSA!$C$12&lt;&gt;"Ready",LEN(RSA!C49)=0),"",MOD(J140,2))</f>
        <v>1</v>
      </c>
      <c r="M140" s="1">
        <f>IF(OR(RSA!$C$12&lt;&gt;"Ready",LEN(RSA!C49)=0),"",O139)</f>
        <v>358</v>
      </c>
      <c r="N140" s="1">
        <f>IF(OR(RSA!$C$12&lt;&gt;"Ready",LEN(RSA!C49)=0),"",IF(L140=1,K140,1))</f>
        <v>139</v>
      </c>
      <c r="O140" s="1">
        <f>IF(OR(RSA!$C$12&lt;&gt;"Ready",LEN(RSA!C49)=0),"",MOD(M140*N140,RSA!$C$16))</f>
        <v>193</v>
      </c>
    </row>
    <row r="141" spans="1:15" ht="21.95" customHeight="1">
      <c r="A141" s="1">
        <v>6</v>
      </c>
      <c r="B141" s="1">
        <f>IF(OR(RSA!$C$12&lt;&gt;"Ready",LEN(RSA!C49)=0),"",INT(B140/2))</f>
        <v>0</v>
      </c>
      <c r="C141" s="1">
        <f>IF(OR(RSA!$C$12&lt;&gt;"Ready",LEN(RSA!C49)=0),"",MOD(C140*C140,RSA!$C$16))</f>
        <v>16</v>
      </c>
      <c r="D141" s="1">
        <f>IF(OR(RSA!$C$12&lt;&gt;"Ready",LEN(RSA!C49)=0),"",MOD(B141,2))</f>
        <v>0</v>
      </c>
      <c r="E141" s="1">
        <f>IF(OR(RSA!$C$12&lt;&gt;"Ready",LEN(RSA!C49)=0),"",G140)</f>
        <v>19</v>
      </c>
      <c r="F141" s="1">
        <f>IF(OR(RSA!$C$12&lt;&gt;"Ready",LEN(RSA!C49)=0),"",IF(D141=1,C141,1))</f>
        <v>1</v>
      </c>
      <c r="G141" s="1">
        <f>IF(OR(RSA!$C$12&lt;&gt;"Ready",LEN(RSA!C49)=0),"",MOD(E141*F141,RSA!$C$16))</f>
        <v>19</v>
      </c>
      <c r="H141" s="1"/>
      <c r="I141" s="1">
        <v>6</v>
      </c>
      <c r="J141" s="1">
        <f>IF(OR(RSA!$C$12&lt;&gt;"Ready",LEN(RSA!C49)=0),"",INT(J140/2))</f>
        <v>10</v>
      </c>
      <c r="K141" s="1">
        <f>IF(OR(RSA!$C$12&lt;&gt;"Ready",LEN(RSA!C49)=0),"",MOD(K140*K140,RSA!$C$16))</f>
        <v>133</v>
      </c>
      <c r="L141" s="1">
        <f>IF(OR(RSA!$C$12&lt;&gt;"Ready",LEN(RSA!C49)=0),"",MOD(J141,2))</f>
        <v>0</v>
      </c>
      <c r="M141" s="1">
        <f>IF(OR(RSA!$C$12&lt;&gt;"Ready",LEN(RSA!C49)=0),"",O140)</f>
        <v>193</v>
      </c>
      <c r="N141" s="1">
        <f>IF(OR(RSA!$C$12&lt;&gt;"Ready",LEN(RSA!C49)=0),"",IF(L141=1,K141,1))</f>
        <v>1</v>
      </c>
      <c r="O141" s="1">
        <f>IF(OR(RSA!$C$12&lt;&gt;"Ready",LEN(RSA!C49)=0),"",MOD(M141*N141,RSA!$C$16))</f>
        <v>193</v>
      </c>
    </row>
    <row r="142" spans="1:15" ht="21.95" customHeight="1">
      <c r="A142" s="1">
        <v>7</v>
      </c>
      <c r="B142" s="1">
        <f>IF(OR(RSA!$C$12&lt;&gt;"Ready",LEN(RSA!C49)=0),"",INT(B141/2))</f>
        <v>0</v>
      </c>
      <c r="C142" s="1">
        <f>IF(OR(RSA!$C$12&lt;&gt;"Ready",LEN(RSA!C49)=0),"",MOD(C141*C141,RSA!$C$16))</f>
        <v>256</v>
      </c>
      <c r="D142" s="1">
        <f>IF(OR(RSA!$C$12&lt;&gt;"Ready",LEN(RSA!C49)=0),"",MOD(B142,2))</f>
        <v>0</v>
      </c>
      <c r="E142" s="1">
        <f>IF(OR(RSA!$C$12&lt;&gt;"Ready",LEN(RSA!C49)=0),"",G141)</f>
        <v>19</v>
      </c>
      <c r="F142" s="1">
        <f>IF(OR(RSA!$C$12&lt;&gt;"Ready",LEN(RSA!C49)=0),"",IF(D142=1,C142,1))</f>
        <v>1</v>
      </c>
      <c r="G142" s="1">
        <f>IF(OR(RSA!$C$12&lt;&gt;"Ready",LEN(RSA!C49)=0),"",MOD(E142*F142,RSA!$C$16))</f>
        <v>19</v>
      </c>
      <c r="H142" s="1"/>
      <c r="I142" s="1">
        <v>7</v>
      </c>
      <c r="J142" s="1">
        <f>IF(OR(RSA!$C$12&lt;&gt;"Ready",LEN(RSA!C49)=0),"",INT(J141/2))</f>
        <v>5</v>
      </c>
      <c r="K142" s="1">
        <f>IF(OR(RSA!$C$12&lt;&gt;"Ready",LEN(RSA!C49)=0),"",MOD(K141*K141,RSA!$C$16))</f>
        <v>100</v>
      </c>
      <c r="L142" s="1">
        <f>IF(OR(RSA!$C$12&lt;&gt;"Ready",LEN(RSA!C49)=0),"",MOD(J142,2))</f>
        <v>1</v>
      </c>
      <c r="M142" s="1">
        <f>IF(OR(RSA!$C$12&lt;&gt;"Ready",LEN(RSA!C49)=0),"",O141)</f>
        <v>193</v>
      </c>
      <c r="N142" s="1">
        <f>IF(OR(RSA!$C$12&lt;&gt;"Ready",LEN(RSA!C49)=0),"",IF(L142=1,K142,1))</f>
        <v>100</v>
      </c>
      <c r="O142" s="1">
        <f>IF(OR(RSA!$C$12&lt;&gt;"Ready",LEN(RSA!C49)=0),"",MOD(M142*N142,RSA!$C$16))</f>
        <v>112</v>
      </c>
    </row>
    <row r="143" spans="1:15" ht="21.95" customHeight="1">
      <c r="A143" s="1">
        <v>8</v>
      </c>
      <c r="B143" s="1">
        <f>IF(OR(RSA!$C$12&lt;&gt;"Ready",LEN(RSA!C49)=0),"",INT(B142/2))</f>
        <v>0</v>
      </c>
      <c r="C143" s="1">
        <f>IF(OR(RSA!$C$12&lt;&gt;"Ready",LEN(RSA!C49)=0),"",MOD(C142*C142,RSA!$C$16))</f>
        <v>510</v>
      </c>
      <c r="D143" s="1">
        <f>IF(OR(RSA!$C$12&lt;&gt;"Ready",LEN(RSA!C49)=0),"",MOD(B143,2))</f>
        <v>0</v>
      </c>
      <c r="E143" s="1">
        <f>IF(OR(RSA!$C$12&lt;&gt;"Ready",LEN(RSA!C49)=0),"",G142)</f>
        <v>19</v>
      </c>
      <c r="F143" s="1">
        <f>IF(OR(RSA!$C$12&lt;&gt;"Ready",LEN(RSA!C49)=0),"",IF(D143=1,C143,1))</f>
        <v>1</v>
      </c>
      <c r="G143" s="1">
        <f>IF(OR(RSA!$C$12&lt;&gt;"Ready",LEN(RSA!C49)=0),"",MOD(E143*F143,RSA!$C$16))</f>
        <v>19</v>
      </c>
      <c r="H143" s="1"/>
      <c r="I143" s="1">
        <v>8</v>
      </c>
      <c r="J143" s="1">
        <f>IF(OR(RSA!$C$12&lt;&gt;"Ready",LEN(RSA!C49)=0),"",INT(J142/2))</f>
        <v>2</v>
      </c>
      <c r="K143" s="1">
        <f>IF(OR(RSA!$C$12&lt;&gt;"Ready",LEN(RSA!C49)=0),"",MOD(K142*K142,RSA!$C$16))</f>
        <v>406</v>
      </c>
      <c r="L143" s="1">
        <f>IF(OR(RSA!$C$12&lt;&gt;"Ready",LEN(RSA!C49)=0),"",MOD(J143,2))</f>
        <v>0</v>
      </c>
      <c r="M143" s="1">
        <f>IF(OR(RSA!$C$12&lt;&gt;"Ready",LEN(RSA!C49)=0),"",O142)</f>
        <v>112</v>
      </c>
      <c r="N143" s="1">
        <f>IF(OR(RSA!$C$12&lt;&gt;"Ready",LEN(RSA!C49)=0),"",IF(L143=1,K143,1))</f>
        <v>1</v>
      </c>
      <c r="O143" s="1">
        <f>IF(OR(RSA!$C$12&lt;&gt;"Ready",LEN(RSA!C49)=0),"",MOD(M143*N143,RSA!$C$16))</f>
        <v>112</v>
      </c>
    </row>
    <row r="144" spans="1:15" ht="21.95" customHeight="1">
      <c r="A144" s="1">
        <v>9</v>
      </c>
      <c r="B144" s="1">
        <f>IF(OR(RSA!$C$12&lt;&gt;"Ready",LEN(RSA!C49)=0),"",INT(B143/2))</f>
        <v>0</v>
      </c>
      <c r="C144" s="1">
        <f>IF(OR(RSA!$C$12&lt;&gt;"Ready",LEN(RSA!C49)=0),"",MOD(C143*C143,RSA!$C$16))</f>
        <v>529</v>
      </c>
      <c r="D144" s="1">
        <f>IF(OR(RSA!$C$12&lt;&gt;"Ready",LEN(RSA!C49)=0),"",MOD(B144,2))</f>
        <v>0</v>
      </c>
      <c r="E144" s="1">
        <f>IF(OR(RSA!$C$12&lt;&gt;"Ready",LEN(RSA!C49)=0),"",G143)</f>
        <v>19</v>
      </c>
      <c r="F144" s="1">
        <f>IF(OR(RSA!$C$12&lt;&gt;"Ready",LEN(RSA!C49)=0),"",IF(D144=1,C144,1))</f>
        <v>1</v>
      </c>
      <c r="G144" s="1">
        <f>IF(OR(RSA!$C$12&lt;&gt;"Ready",LEN(RSA!C49)=0),"",MOD(E144*F144,RSA!$C$16))</f>
        <v>19</v>
      </c>
      <c r="H144" s="1"/>
      <c r="I144" s="1">
        <v>9</v>
      </c>
      <c r="J144" s="1">
        <f>IF(OR(RSA!$C$12&lt;&gt;"Ready",LEN(RSA!C49)=0),"",INT(J143/2))</f>
        <v>1</v>
      </c>
      <c r="K144" s="1">
        <f>IF(OR(RSA!$C$12&lt;&gt;"Ready",LEN(RSA!C49)=0),"",MOD(K143*K143,RSA!$C$16))</f>
        <v>139</v>
      </c>
      <c r="L144" s="1">
        <f>IF(OR(RSA!$C$12&lt;&gt;"Ready",LEN(RSA!C49)=0),"",MOD(J144,2))</f>
        <v>1</v>
      </c>
      <c r="M144" s="1">
        <f>IF(OR(RSA!$C$12&lt;&gt;"Ready",LEN(RSA!C49)=0),"",O143)</f>
        <v>112</v>
      </c>
      <c r="N144" s="1">
        <f>IF(OR(RSA!$C$12&lt;&gt;"Ready",LEN(RSA!C49)=0),"",IF(L144=1,K144,1))</f>
        <v>139</v>
      </c>
      <c r="O144" s="1">
        <f>IF(OR(RSA!$C$12&lt;&gt;"Ready",LEN(RSA!C49)=0),"",MOD(M144*N144,RSA!$C$16))</f>
        <v>111</v>
      </c>
    </row>
    <row r="145" spans="1:15" ht="21.95" customHeight="1">
      <c r="A145" s="1">
        <v>10</v>
      </c>
      <c r="B145" s="1">
        <f>IF(OR(RSA!$C$12&lt;&gt;"Ready",LEN(RSA!C49)=0),"",INT(B144/2))</f>
        <v>0</v>
      </c>
      <c r="C145" s="1">
        <f>IF(OR(RSA!$C$12&lt;&gt;"Ready",LEN(RSA!C49)=0),"",MOD(C144*C144,RSA!$C$16))</f>
        <v>16</v>
      </c>
      <c r="D145" s="1">
        <f>IF(OR(RSA!$C$12&lt;&gt;"Ready",LEN(RSA!C49)=0),"",MOD(B145,2))</f>
        <v>0</v>
      </c>
      <c r="E145" s="1">
        <f>IF(OR(RSA!$C$12&lt;&gt;"Ready",LEN(RSA!C49)=0),"",G144)</f>
        <v>19</v>
      </c>
      <c r="F145" s="1">
        <f>IF(OR(RSA!$C$12&lt;&gt;"Ready",LEN(RSA!C49)=0),"",IF(D145=1,C145,1))</f>
        <v>1</v>
      </c>
      <c r="G145" s="1">
        <f>IF(OR(RSA!$C$12&lt;&gt;"Ready",LEN(RSA!C49)=0),"",MOD(E145*F145,RSA!$C$16))</f>
        <v>19</v>
      </c>
      <c r="H145" s="1"/>
      <c r="I145" s="1">
        <v>10</v>
      </c>
      <c r="J145" s="1">
        <f>IF(OR(RSA!$C$12&lt;&gt;"Ready",LEN(RSA!C49)=0),"",INT(J144/2))</f>
        <v>0</v>
      </c>
      <c r="K145" s="1">
        <f>IF(OR(RSA!$C$12&lt;&gt;"Ready",LEN(RSA!C49)=0),"",MOD(K144*K144,RSA!$C$16))</f>
        <v>133</v>
      </c>
      <c r="L145" s="1">
        <f>IF(OR(RSA!$C$12&lt;&gt;"Ready",LEN(RSA!C49)=0),"",MOD(J145,2))</f>
        <v>0</v>
      </c>
      <c r="M145" s="1">
        <f>IF(OR(RSA!$C$12&lt;&gt;"Ready",LEN(RSA!C49)=0),"",O144)</f>
        <v>111</v>
      </c>
      <c r="N145" s="1">
        <f>IF(OR(RSA!$C$12&lt;&gt;"Ready",LEN(RSA!C49)=0),"",IF(L145=1,K145,1))</f>
        <v>1</v>
      </c>
      <c r="O145" s="1">
        <f>IF(OR(RSA!$C$12&lt;&gt;"Ready",LEN(RSA!C49)=0),"",MOD(M145*N145,RSA!$C$16))</f>
        <v>111</v>
      </c>
    </row>
    <row r="146" spans="1:15" ht="21.95" customHeight="1">
      <c r="A146" s="1">
        <v>11</v>
      </c>
      <c r="B146" s="1">
        <f>IF(OR(RSA!$C$12&lt;&gt;"Ready",LEN(RSA!C49)=0),"",INT(B145/2))</f>
        <v>0</v>
      </c>
      <c r="C146" s="1">
        <f>IF(OR(RSA!$C$12&lt;&gt;"Ready",LEN(RSA!C49)=0),"",MOD(C145*C145,RSA!$C$16))</f>
        <v>256</v>
      </c>
      <c r="D146" s="1">
        <f>IF(OR(RSA!$C$12&lt;&gt;"Ready",LEN(RSA!C49)=0),"",MOD(B146,2))</f>
        <v>0</v>
      </c>
      <c r="E146" s="1">
        <f>IF(OR(RSA!$C$12&lt;&gt;"Ready",LEN(RSA!C49)=0),"",G145)</f>
        <v>19</v>
      </c>
      <c r="F146" s="1">
        <f>IF(OR(RSA!$C$12&lt;&gt;"Ready",LEN(RSA!C49)=0),"",IF(D146=1,C146,1))</f>
        <v>1</v>
      </c>
      <c r="G146" s="1">
        <f>IF(OR(RSA!$C$12&lt;&gt;"Ready",LEN(RSA!C49)=0),"",MOD(E146*F146,RSA!$C$16))</f>
        <v>19</v>
      </c>
      <c r="H146" s="1"/>
      <c r="I146" s="1">
        <v>11</v>
      </c>
      <c r="J146" s="1">
        <f>IF(OR(RSA!$C$12&lt;&gt;"Ready",LEN(RSA!C49)=0),"",INT(J145/2))</f>
        <v>0</v>
      </c>
      <c r="K146" s="1">
        <f>IF(OR(RSA!$C$12&lt;&gt;"Ready",LEN(RSA!C49)=0),"",MOD(K145*K145,RSA!$C$16))</f>
        <v>100</v>
      </c>
      <c r="L146" s="1">
        <f>IF(OR(RSA!$C$12&lt;&gt;"Ready",LEN(RSA!C49)=0),"",MOD(J146,2))</f>
        <v>0</v>
      </c>
      <c r="M146" s="1">
        <f>IF(OR(RSA!$C$12&lt;&gt;"Ready",LEN(RSA!C49)=0),"",O145)</f>
        <v>111</v>
      </c>
      <c r="N146" s="1">
        <f>IF(OR(RSA!$C$12&lt;&gt;"Ready",LEN(RSA!C49)=0),"",IF(L146=1,K146,1))</f>
        <v>1</v>
      </c>
      <c r="O146" s="1">
        <f>IF(OR(RSA!$C$12&lt;&gt;"Ready",LEN(RSA!C49)=0),"",MOD(M146*N146,RSA!$C$16))</f>
        <v>111</v>
      </c>
    </row>
    <row r="147" spans="1:15" ht="21.95" customHeight="1">
      <c r="A147" s="1">
        <v>12</v>
      </c>
      <c r="B147" s="1">
        <f>IF(OR(RSA!$C$12&lt;&gt;"Ready",LEN(RSA!C49)=0),"",INT(B146/2))</f>
        <v>0</v>
      </c>
      <c r="C147" s="1">
        <f>IF(OR(RSA!$C$12&lt;&gt;"Ready",LEN(RSA!C49)=0),"",MOD(C146*C146,RSA!$C$16))</f>
        <v>510</v>
      </c>
      <c r="D147" s="1">
        <f>IF(OR(RSA!$C$12&lt;&gt;"Ready",LEN(RSA!C49)=0),"",MOD(B147,2))</f>
        <v>0</v>
      </c>
      <c r="E147" s="1">
        <f>IF(OR(RSA!$C$12&lt;&gt;"Ready",LEN(RSA!C49)=0),"",G146)</f>
        <v>19</v>
      </c>
      <c r="F147" s="1">
        <f>IF(OR(RSA!$C$12&lt;&gt;"Ready",LEN(RSA!C49)=0),"",IF(D147=1,C147,1))</f>
        <v>1</v>
      </c>
      <c r="G147" s="1">
        <f>IF(OR(RSA!$C$12&lt;&gt;"Ready",LEN(RSA!C49)=0),"",MOD(E147*F147,RSA!$C$16))</f>
        <v>19</v>
      </c>
      <c r="H147" s="1"/>
      <c r="I147" s="1">
        <v>12</v>
      </c>
      <c r="J147" s="1">
        <f>IF(OR(RSA!$C$12&lt;&gt;"Ready",LEN(RSA!C49)=0),"",INT(J146/2))</f>
        <v>0</v>
      </c>
      <c r="K147" s="1">
        <f>IF(OR(RSA!$C$12&lt;&gt;"Ready",LEN(RSA!C49)=0),"",MOD(K146*K146,RSA!$C$16))</f>
        <v>406</v>
      </c>
      <c r="L147" s="1">
        <f>IF(OR(RSA!$C$12&lt;&gt;"Ready",LEN(RSA!C49)=0),"",MOD(J147,2))</f>
        <v>0</v>
      </c>
      <c r="M147" s="1">
        <f>IF(OR(RSA!$C$12&lt;&gt;"Ready",LEN(RSA!C49)=0),"",O146)</f>
        <v>111</v>
      </c>
      <c r="N147" s="1">
        <f>IF(OR(RSA!$C$12&lt;&gt;"Ready",LEN(RSA!C49)=0),"",IF(L147=1,K147,1))</f>
        <v>1</v>
      </c>
      <c r="O147" s="1">
        <f>IF(OR(RSA!$C$12&lt;&gt;"Ready",LEN(RSA!C49)=0),"",MOD(M147*N147,RSA!$C$16))</f>
        <v>111</v>
      </c>
    </row>
    <row r="148" spans="1:15" ht="21.95" customHeight="1">
      <c r="A148" s="1">
        <v>13</v>
      </c>
      <c r="B148" s="1">
        <f>IF(OR(RSA!$C$12&lt;&gt;"Ready",LEN(RSA!C49)=0),"",INT(B147/2))</f>
        <v>0</v>
      </c>
      <c r="C148" s="1">
        <f>IF(OR(RSA!$C$12&lt;&gt;"Ready",LEN(RSA!C49)=0),"",MOD(C147*C147,RSA!$C$16))</f>
        <v>529</v>
      </c>
      <c r="D148" s="1">
        <f>IF(OR(RSA!$C$12&lt;&gt;"Ready",LEN(RSA!C49)=0),"",MOD(B148,2))</f>
        <v>0</v>
      </c>
      <c r="E148" s="1">
        <f>IF(OR(RSA!$C$12&lt;&gt;"Ready",LEN(RSA!C49)=0),"",G147)</f>
        <v>19</v>
      </c>
      <c r="F148" s="1">
        <f>IF(OR(RSA!$C$12&lt;&gt;"Ready",LEN(RSA!C49)=0),"",IF(D148=1,C148,1))</f>
        <v>1</v>
      </c>
      <c r="G148" s="1">
        <f>IF(OR(RSA!$C$12&lt;&gt;"Ready",LEN(RSA!C49)=0),"",MOD(E148*F148,RSA!$C$16))</f>
        <v>19</v>
      </c>
      <c r="H148" s="1"/>
      <c r="I148" s="1">
        <v>13</v>
      </c>
      <c r="J148" s="1">
        <f>IF(OR(RSA!$C$12&lt;&gt;"Ready",LEN(RSA!C49)=0),"",INT(J147/2))</f>
        <v>0</v>
      </c>
      <c r="K148" s="1">
        <f>IF(OR(RSA!$C$12&lt;&gt;"Ready",LEN(RSA!C49)=0),"",MOD(K147*K147,RSA!$C$16))</f>
        <v>139</v>
      </c>
      <c r="L148" s="1">
        <f>IF(OR(RSA!$C$12&lt;&gt;"Ready",LEN(RSA!C49)=0),"",MOD(J148,2))</f>
        <v>0</v>
      </c>
      <c r="M148" s="1">
        <f>IF(OR(RSA!$C$12&lt;&gt;"Ready",LEN(RSA!C49)=0),"",O147)</f>
        <v>111</v>
      </c>
      <c r="N148" s="1">
        <f>IF(OR(RSA!$C$12&lt;&gt;"Ready",LEN(RSA!C49)=0),"",IF(L148=1,K148,1))</f>
        <v>1</v>
      </c>
      <c r="O148" s="1">
        <f>IF(OR(RSA!$C$12&lt;&gt;"Ready",LEN(RSA!C49)=0),"",MOD(M148*N148,RSA!$C$16))</f>
        <v>111</v>
      </c>
    </row>
    <row r="149" spans="1:15" ht="21.95" customHeight="1">
      <c r="A149" s="1">
        <v>14</v>
      </c>
      <c r="B149" s="1">
        <f>IF(OR(RSA!$C$12&lt;&gt;"Ready",LEN(RSA!C49)=0),"",INT(B148/2))</f>
        <v>0</v>
      </c>
      <c r="C149" s="1">
        <f>IF(OR(RSA!$C$12&lt;&gt;"Ready",LEN(RSA!C49)=0),"",MOD(C148*C148,RSA!$C$16))</f>
        <v>16</v>
      </c>
      <c r="D149" s="1">
        <f>IF(OR(RSA!$C$12&lt;&gt;"Ready",LEN(RSA!C49)=0),"",MOD(B149,2))</f>
        <v>0</v>
      </c>
      <c r="E149" s="1">
        <f>IF(OR(RSA!$C$12&lt;&gt;"Ready",LEN(RSA!C49)=0),"",G148)</f>
        <v>19</v>
      </c>
      <c r="F149" s="1">
        <f>IF(OR(RSA!$C$12&lt;&gt;"Ready",LEN(RSA!C49)=0),"",IF(D149=1,C149,1))</f>
        <v>1</v>
      </c>
      <c r="G149" s="12">
        <f>IF(OR(RSA!$C$12&lt;&gt;"Ready",LEN(RSA!C49)=0),"",MOD(E149*F149,RSA!$C$16))</f>
        <v>19</v>
      </c>
      <c r="H149" s="1"/>
      <c r="I149" s="1">
        <v>14</v>
      </c>
      <c r="J149" s="1">
        <f>IF(OR(RSA!$C$12&lt;&gt;"Ready",LEN(RSA!C49)=0),"",INT(J148/2))</f>
        <v>0</v>
      </c>
      <c r="K149" s="1">
        <f>IF(OR(RSA!$C$12&lt;&gt;"Ready",LEN(RSA!C49)=0),"",MOD(K148*K148,RSA!$C$16))</f>
        <v>133</v>
      </c>
      <c r="L149" s="1">
        <f>IF(OR(RSA!$C$12&lt;&gt;"Ready",LEN(RSA!C49)=0),"",MOD(J149,2))</f>
        <v>0</v>
      </c>
      <c r="M149" s="1">
        <f>IF(OR(RSA!$C$12&lt;&gt;"Ready",LEN(RSA!C49)=0),"",O148)</f>
        <v>111</v>
      </c>
      <c r="N149" s="1">
        <f>IF(OR(RSA!$C$12&lt;&gt;"Ready",LEN(RSA!C49)=0),"",IF(L149=1,K149,1))</f>
        <v>1</v>
      </c>
      <c r="O149" s="12">
        <f>IF(OR(RSA!$C$12&lt;&gt;"Ready",LEN(RSA!C49)=0),"",MOD(M149*N149,RSA!$C$16))</f>
        <v>111</v>
      </c>
    </row>
    <row r="150" spans="1:15" ht="21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21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21.95" customHeight="1">
      <c r="A152" s="1" t="s">
        <v>98</v>
      </c>
      <c r="B152" s="1"/>
      <c r="C152" s="1"/>
      <c r="D152" s="1"/>
      <c r="E152" s="1"/>
      <c r="F152" s="1"/>
      <c r="G152" s="1"/>
      <c r="H152" s="1"/>
      <c r="I152" s="1" t="s">
        <v>99</v>
      </c>
      <c r="J152" s="1"/>
      <c r="K152" s="1"/>
      <c r="L152" s="1"/>
      <c r="M152" s="1"/>
      <c r="N152" s="1"/>
      <c r="O152" s="1"/>
    </row>
    <row r="153" spans="1:15" ht="32.1" customHeight="1">
      <c r="A153" s="4" t="s">
        <v>77</v>
      </c>
      <c r="B153" s="4" t="s">
        <v>78</v>
      </c>
      <c r="C153" s="4" t="s">
        <v>79</v>
      </c>
      <c r="D153" s="4" t="s">
        <v>80</v>
      </c>
      <c r="E153" s="4" t="s">
        <v>81</v>
      </c>
      <c r="F153" s="4" t="s">
        <v>82</v>
      </c>
      <c r="G153" s="4" t="s">
        <v>83</v>
      </c>
      <c r="H153" s="1"/>
      <c r="I153" s="4" t="s">
        <v>77</v>
      </c>
      <c r="J153" s="4" t="s">
        <v>78</v>
      </c>
      <c r="K153" s="4" t="s">
        <v>79</v>
      </c>
      <c r="L153" s="4" t="s">
        <v>80</v>
      </c>
      <c r="M153" s="4" t="s">
        <v>81</v>
      </c>
      <c r="N153" s="4" t="s">
        <v>82</v>
      </c>
      <c r="O153" s="4" t="s">
        <v>83</v>
      </c>
    </row>
    <row r="154" spans="1:15" ht="21.95" customHeight="1">
      <c r="A154" s="1">
        <v>1</v>
      </c>
      <c r="B154" s="1">
        <f>IF(OR(RSA!$C$12&lt;&gt;"Ready",LEN(RSA!C50)=0),"",RSA!$C$18)</f>
        <v>7</v>
      </c>
      <c r="C154" s="1">
        <f>IF(OR(RSA!$C$12&lt;&gt;"Ready",LEN(RSA!C50)=0),"",RSA!D50)</f>
        <v>114</v>
      </c>
      <c r="D154" s="1">
        <f>IF(OR(RSA!$C$12&lt;&gt;"Ready",LEN(RSA!C50)=0),"",MOD(B154,2))</f>
        <v>1</v>
      </c>
      <c r="E154" s="1">
        <f>IF(OR(RSA!$C$12&lt;&gt;"Ready",LEN(RSA!C50)=0),"",1)</f>
        <v>1</v>
      </c>
      <c r="F154" s="1">
        <f>IF(OR(RSA!$C$12&lt;&gt;"Ready",LEN(RSA!C50)=0),"",IF(D154=1,C154,1))</f>
        <v>114</v>
      </c>
      <c r="G154" s="1">
        <f>IF(OR(RSA!$C$12&lt;&gt;"Ready",LEN(RSA!C50)=0),"",MOD(E154*F154,RSA!$C$16))</f>
        <v>114</v>
      </c>
      <c r="H154" s="1"/>
      <c r="I154" s="1">
        <v>1</v>
      </c>
      <c r="J154" s="1">
        <f>IF(OR(RSA!$C$12&lt;&gt;"Ready",LEN(RSA!C50)=0),"",RSA!$C$19)</f>
        <v>343</v>
      </c>
      <c r="K154" s="1">
        <f>IF(OR(RSA!$C$12&lt;&gt;"Ready",LEN(RSA!C50)=0),"",RSA!F50)</f>
        <v>296</v>
      </c>
      <c r="L154" s="1">
        <f>IF(OR(RSA!$C$12&lt;&gt;"Ready",LEN(RSA!C50)=0),"",MOD(J154,2))</f>
        <v>1</v>
      </c>
      <c r="M154" s="1">
        <f>IF(OR(RSA!$C$12&lt;&gt;"Ready",LEN(RSA!C50)=0),"",1)</f>
        <v>1</v>
      </c>
      <c r="N154" s="1">
        <f>IF(OR(RSA!$C$12&lt;&gt;"Ready",LEN(RSA!C50)=0),"",IF(L154=1,K154,1))</f>
        <v>296</v>
      </c>
      <c r="O154" s="1">
        <f>IF(OR(RSA!$C$12&lt;&gt;"Ready",LEN(RSA!C50)=0),"",MOD(M154*N154,RSA!$C$16))</f>
        <v>296</v>
      </c>
    </row>
    <row r="155" spans="1:15" ht="21.95" customHeight="1">
      <c r="A155" s="1">
        <v>2</v>
      </c>
      <c r="B155" s="1">
        <f>IF(OR(RSA!$C$12&lt;&gt;"Ready",LEN(RSA!C50)=0),"",INT(B154/2))</f>
        <v>3</v>
      </c>
      <c r="C155" s="1">
        <f>IF(OR(RSA!$C$12&lt;&gt;"Ready",LEN(RSA!C50)=0),"",MOD(C154*C154,RSA!$C$16))</f>
        <v>204</v>
      </c>
      <c r="D155" s="1">
        <f>IF(OR(RSA!$C$12&lt;&gt;"Ready",LEN(RSA!C50)=0),"",MOD(B155,2))</f>
        <v>1</v>
      </c>
      <c r="E155" s="1">
        <f>IF(OR(RSA!$C$12&lt;&gt;"Ready",LEN(RSA!C50)=0),"",G154)</f>
        <v>114</v>
      </c>
      <c r="F155" s="1">
        <f>IF(OR(RSA!$C$12&lt;&gt;"Ready",LEN(RSA!C50)=0),"",IF(D155=1,C155,1))</f>
        <v>204</v>
      </c>
      <c r="G155" s="1">
        <f>IF(OR(RSA!$C$12&lt;&gt;"Ready",LEN(RSA!C50)=0),"",MOD(E155*F155,RSA!$C$16))</f>
        <v>337</v>
      </c>
      <c r="H155" s="1"/>
      <c r="I155" s="1">
        <v>2</v>
      </c>
      <c r="J155" s="1">
        <f>IF(OR(RSA!$C$12&lt;&gt;"Ready",LEN(RSA!C50)=0),"",INT(J154/2))</f>
        <v>171</v>
      </c>
      <c r="K155" s="1">
        <f>IF(OR(RSA!$C$12&lt;&gt;"Ready",LEN(RSA!C50)=0),"",MOD(K154*K154,RSA!$C$16))</f>
        <v>204</v>
      </c>
      <c r="L155" s="1">
        <f>IF(OR(RSA!$C$12&lt;&gt;"Ready",LEN(RSA!C50)=0),"",MOD(J155,2))</f>
        <v>1</v>
      </c>
      <c r="M155" s="1">
        <f>IF(OR(RSA!$C$12&lt;&gt;"Ready",LEN(RSA!C50)=0),"",O154)</f>
        <v>296</v>
      </c>
      <c r="N155" s="1">
        <f>IF(OR(RSA!$C$12&lt;&gt;"Ready",LEN(RSA!C50)=0),"",IF(L155=1,K155,1))</f>
        <v>204</v>
      </c>
      <c r="O155" s="1">
        <f>IF(OR(RSA!$C$12&lt;&gt;"Ready",LEN(RSA!C50)=0),"",MOD(M155*N155,RSA!$C$16))</f>
        <v>155</v>
      </c>
    </row>
    <row r="156" spans="1:15" ht="21.95" customHeight="1">
      <c r="A156" s="1">
        <v>3</v>
      </c>
      <c r="B156" s="1">
        <f>IF(OR(RSA!$C$12&lt;&gt;"Ready",LEN(RSA!C50)=0),"",INT(B155/2))</f>
        <v>1</v>
      </c>
      <c r="C156" s="1">
        <f>IF(OR(RSA!$C$12&lt;&gt;"Ready",LEN(RSA!C50)=0),"",MOD(C155*C155,RSA!$C$16))</f>
        <v>42</v>
      </c>
      <c r="D156" s="1">
        <f>IF(OR(RSA!$C$12&lt;&gt;"Ready",LEN(RSA!C50)=0),"",MOD(B156,2))</f>
        <v>1</v>
      </c>
      <c r="E156" s="1">
        <f>IF(OR(RSA!$C$12&lt;&gt;"Ready",LEN(RSA!C50)=0),"",G155)</f>
        <v>337</v>
      </c>
      <c r="F156" s="1">
        <f>IF(OR(RSA!$C$12&lt;&gt;"Ready",LEN(RSA!C50)=0),"",IF(D156=1,C156,1))</f>
        <v>42</v>
      </c>
      <c r="G156" s="1">
        <f>IF(OR(RSA!$C$12&lt;&gt;"Ready",LEN(RSA!C50)=0),"",MOD(E156*F156,RSA!$C$16))</f>
        <v>296</v>
      </c>
      <c r="H156" s="1"/>
      <c r="I156" s="1">
        <v>3</v>
      </c>
      <c r="J156" s="1">
        <f>IF(OR(RSA!$C$12&lt;&gt;"Ready",LEN(RSA!C50)=0),"",INT(J155/2))</f>
        <v>85</v>
      </c>
      <c r="K156" s="1">
        <f>IF(OR(RSA!$C$12&lt;&gt;"Ready",LEN(RSA!C50)=0),"",MOD(K155*K155,RSA!$C$16))</f>
        <v>42</v>
      </c>
      <c r="L156" s="1">
        <f>IF(OR(RSA!$C$12&lt;&gt;"Ready",LEN(RSA!C50)=0),"",MOD(J156,2))</f>
        <v>1</v>
      </c>
      <c r="M156" s="1">
        <f>IF(OR(RSA!$C$12&lt;&gt;"Ready",LEN(RSA!C50)=0),"",O155)</f>
        <v>155</v>
      </c>
      <c r="N156" s="1">
        <f>IF(OR(RSA!$C$12&lt;&gt;"Ready",LEN(RSA!C50)=0),"",IF(L156=1,K156,1))</f>
        <v>42</v>
      </c>
      <c r="O156" s="1">
        <f>IF(OR(RSA!$C$12&lt;&gt;"Ready",LEN(RSA!C50)=0),"",MOD(M156*N156,RSA!$C$16))</f>
        <v>114</v>
      </c>
    </row>
    <row r="157" spans="1:15" ht="21.95" customHeight="1">
      <c r="A157" s="1">
        <v>4</v>
      </c>
      <c r="B157" s="1">
        <f>IF(OR(RSA!$C$12&lt;&gt;"Ready",LEN(RSA!C50)=0),"",INT(B156/2))</f>
        <v>0</v>
      </c>
      <c r="C157" s="1">
        <f>IF(OR(RSA!$C$12&lt;&gt;"Ready",LEN(RSA!C50)=0),"",MOD(C156*C156,RSA!$C$16))</f>
        <v>165</v>
      </c>
      <c r="D157" s="1">
        <f>IF(OR(RSA!$C$12&lt;&gt;"Ready",LEN(RSA!C50)=0),"",MOD(B157,2))</f>
        <v>0</v>
      </c>
      <c r="E157" s="1">
        <f>IF(OR(RSA!$C$12&lt;&gt;"Ready",LEN(RSA!C50)=0),"",G156)</f>
        <v>296</v>
      </c>
      <c r="F157" s="1">
        <f>IF(OR(RSA!$C$12&lt;&gt;"Ready",LEN(RSA!C50)=0),"",IF(D157=1,C157,1))</f>
        <v>1</v>
      </c>
      <c r="G157" s="1">
        <f>IF(OR(RSA!$C$12&lt;&gt;"Ready",LEN(RSA!C50)=0),"",MOD(E157*F157,RSA!$C$16))</f>
        <v>296</v>
      </c>
      <c r="H157" s="1"/>
      <c r="I157" s="1">
        <v>4</v>
      </c>
      <c r="J157" s="1">
        <f>IF(OR(RSA!$C$12&lt;&gt;"Ready",LEN(RSA!C50)=0),"",INT(J156/2))</f>
        <v>42</v>
      </c>
      <c r="K157" s="1">
        <f>IF(OR(RSA!$C$12&lt;&gt;"Ready",LEN(RSA!C50)=0),"",MOD(K156*K156,RSA!$C$16))</f>
        <v>165</v>
      </c>
      <c r="L157" s="1">
        <f>IF(OR(RSA!$C$12&lt;&gt;"Ready",LEN(RSA!C50)=0),"",MOD(J157,2))</f>
        <v>0</v>
      </c>
      <c r="M157" s="1">
        <f>IF(OR(RSA!$C$12&lt;&gt;"Ready",LEN(RSA!C50)=0),"",O156)</f>
        <v>114</v>
      </c>
      <c r="N157" s="1">
        <f>IF(OR(RSA!$C$12&lt;&gt;"Ready",LEN(RSA!C50)=0),"",IF(L157=1,K157,1))</f>
        <v>1</v>
      </c>
      <c r="O157" s="1">
        <f>IF(OR(RSA!$C$12&lt;&gt;"Ready",LEN(RSA!C50)=0),"",MOD(M157*N157,RSA!$C$16))</f>
        <v>114</v>
      </c>
    </row>
    <row r="158" spans="1:15" ht="21.95" customHeight="1">
      <c r="A158" s="1">
        <v>5</v>
      </c>
      <c r="B158" s="1">
        <f>IF(OR(RSA!$C$12&lt;&gt;"Ready",LEN(RSA!C50)=0),"",INT(B157/2))</f>
        <v>0</v>
      </c>
      <c r="C158" s="1">
        <f>IF(OR(RSA!$C$12&lt;&gt;"Ready",LEN(RSA!C50)=0),"",MOD(C157*C157,RSA!$C$16))</f>
        <v>42</v>
      </c>
      <c r="D158" s="1">
        <f>IF(OR(RSA!$C$12&lt;&gt;"Ready",LEN(RSA!C50)=0),"",MOD(B158,2))</f>
        <v>0</v>
      </c>
      <c r="E158" s="1">
        <f>IF(OR(RSA!$C$12&lt;&gt;"Ready",LEN(RSA!C50)=0),"",G157)</f>
        <v>296</v>
      </c>
      <c r="F158" s="1">
        <f>IF(OR(RSA!$C$12&lt;&gt;"Ready",LEN(RSA!C50)=0),"",IF(D158=1,C158,1))</f>
        <v>1</v>
      </c>
      <c r="G158" s="1">
        <f>IF(OR(RSA!$C$12&lt;&gt;"Ready",LEN(RSA!C50)=0),"",MOD(E158*F158,RSA!$C$16))</f>
        <v>296</v>
      </c>
      <c r="H158" s="1"/>
      <c r="I158" s="1">
        <v>5</v>
      </c>
      <c r="J158" s="1">
        <f>IF(OR(RSA!$C$12&lt;&gt;"Ready",LEN(RSA!C50)=0),"",INT(J157/2))</f>
        <v>21</v>
      </c>
      <c r="K158" s="1">
        <f>IF(OR(RSA!$C$12&lt;&gt;"Ready",LEN(RSA!C50)=0),"",MOD(K157*K157,RSA!$C$16))</f>
        <v>42</v>
      </c>
      <c r="L158" s="1">
        <f>IF(OR(RSA!$C$12&lt;&gt;"Ready",LEN(RSA!C50)=0),"",MOD(J158,2))</f>
        <v>1</v>
      </c>
      <c r="M158" s="1">
        <f>IF(OR(RSA!$C$12&lt;&gt;"Ready",LEN(RSA!C50)=0),"",O157)</f>
        <v>114</v>
      </c>
      <c r="N158" s="1">
        <f>IF(OR(RSA!$C$12&lt;&gt;"Ready",LEN(RSA!C50)=0),"",IF(L158=1,K158,1))</f>
        <v>42</v>
      </c>
      <c r="O158" s="1">
        <f>IF(OR(RSA!$C$12&lt;&gt;"Ready",LEN(RSA!C50)=0),"",MOD(M158*N158,RSA!$C$16))</f>
        <v>524</v>
      </c>
    </row>
    <row r="159" spans="1:15" ht="21.95" customHeight="1">
      <c r="A159" s="1">
        <v>6</v>
      </c>
      <c r="B159" s="1">
        <f>IF(OR(RSA!$C$12&lt;&gt;"Ready",LEN(RSA!C50)=0),"",INT(B158/2))</f>
        <v>0</v>
      </c>
      <c r="C159" s="1">
        <f>IF(OR(RSA!$C$12&lt;&gt;"Ready",LEN(RSA!C50)=0),"",MOD(C158*C158,RSA!$C$16))</f>
        <v>165</v>
      </c>
      <c r="D159" s="1">
        <f>IF(OR(RSA!$C$12&lt;&gt;"Ready",LEN(RSA!C50)=0),"",MOD(B159,2))</f>
        <v>0</v>
      </c>
      <c r="E159" s="1">
        <f>IF(OR(RSA!$C$12&lt;&gt;"Ready",LEN(RSA!C50)=0),"",G158)</f>
        <v>296</v>
      </c>
      <c r="F159" s="1">
        <f>IF(OR(RSA!$C$12&lt;&gt;"Ready",LEN(RSA!C50)=0),"",IF(D159=1,C159,1))</f>
        <v>1</v>
      </c>
      <c r="G159" s="1">
        <f>IF(OR(RSA!$C$12&lt;&gt;"Ready",LEN(RSA!C50)=0),"",MOD(E159*F159,RSA!$C$16))</f>
        <v>296</v>
      </c>
      <c r="H159" s="1"/>
      <c r="I159" s="1">
        <v>6</v>
      </c>
      <c r="J159" s="1">
        <f>IF(OR(RSA!$C$12&lt;&gt;"Ready",LEN(RSA!C50)=0),"",INT(J158/2))</f>
        <v>10</v>
      </c>
      <c r="K159" s="1">
        <f>IF(OR(RSA!$C$12&lt;&gt;"Ready",LEN(RSA!C50)=0),"",MOD(K158*K158,RSA!$C$16))</f>
        <v>165</v>
      </c>
      <c r="L159" s="1">
        <f>IF(OR(RSA!$C$12&lt;&gt;"Ready",LEN(RSA!C50)=0),"",MOD(J159,2))</f>
        <v>0</v>
      </c>
      <c r="M159" s="1">
        <f>IF(OR(RSA!$C$12&lt;&gt;"Ready",LEN(RSA!C50)=0),"",O158)</f>
        <v>524</v>
      </c>
      <c r="N159" s="1">
        <f>IF(OR(RSA!$C$12&lt;&gt;"Ready",LEN(RSA!C50)=0),"",IF(L159=1,K159,1))</f>
        <v>1</v>
      </c>
      <c r="O159" s="1">
        <f>IF(OR(RSA!$C$12&lt;&gt;"Ready",LEN(RSA!C50)=0),"",MOD(M159*N159,RSA!$C$16))</f>
        <v>524</v>
      </c>
    </row>
    <row r="160" spans="1:15" ht="21.95" customHeight="1">
      <c r="A160" s="1">
        <v>7</v>
      </c>
      <c r="B160" s="1">
        <f>IF(OR(RSA!$C$12&lt;&gt;"Ready",LEN(RSA!C50)=0),"",INT(B159/2))</f>
        <v>0</v>
      </c>
      <c r="C160" s="1">
        <f>IF(OR(RSA!$C$12&lt;&gt;"Ready",LEN(RSA!C50)=0),"",MOD(C159*C159,RSA!$C$16))</f>
        <v>42</v>
      </c>
      <c r="D160" s="1">
        <f>IF(OR(RSA!$C$12&lt;&gt;"Ready",LEN(RSA!C50)=0),"",MOD(B160,2))</f>
        <v>0</v>
      </c>
      <c r="E160" s="1">
        <f>IF(OR(RSA!$C$12&lt;&gt;"Ready",LEN(RSA!C50)=0),"",G159)</f>
        <v>296</v>
      </c>
      <c r="F160" s="1">
        <f>IF(OR(RSA!$C$12&lt;&gt;"Ready",LEN(RSA!C50)=0),"",IF(D160=1,C160,1))</f>
        <v>1</v>
      </c>
      <c r="G160" s="1">
        <f>IF(OR(RSA!$C$12&lt;&gt;"Ready",LEN(RSA!C50)=0),"",MOD(E160*F160,RSA!$C$16))</f>
        <v>296</v>
      </c>
      <c r="H160" s="1"/>
      <c r="I160" s="1">
        <v>7</v>
      </c>
      <c r="J160" s="1">
        <f>IF(OR(RSA!$C$12&lt;&gt;"Ready",LEN(RSA!C50)=0),"",INT(J159/2))</f>
        <v>5</v>
      </c>
      <c r="K160" s="1">
        <f>IF(OR(RSA!$C$12&lt;&gt;"Ready",LEN(RSA!C50)=0),"",MOD(K159*K159,RSA!$C$16))</f>
        <v>42</v>
      </c>
      <c r="L160" s="1">
        <f>IF(OR(RSA!$C$12&lt;&gt;"Ready",LEN(RSA!C50)=0),"",MOD(J160,2))</f>
        <v>1</v>
      </c>
      <c r="M160" s="1">
        <f>IF(OR(RSA!$C$12&lt;&gt;"Ready",LEN(RSA!C50)=0),"",O159)</f>
        <v>524</v>
      </c>
      <c r="N160" s="1">
        <f>IF(OR(RSA!$C$12&lt;&gt;"Ready",LEN(RSA!C50)=0),"",IF(L160=1,K160,1))</f>
        <v>42</v>
      </c>
      <c r="O160" s="1">
        <f>IF(OR(RSA!$C$12&lt;&gt;"Ready",LEN(RSA!C50)=0),"",MOD(M160*N160,RSA!$C$16))</f>
        <v>155</v>
      </c>
    </row>
    <row r="161" spans="1:15" ht="21.95" customHeight="1">
      <c r="A161" s="1">
        <v>8</v>
      </c>
      <c r="B161" s="1">
        <f>IF(OR(RSA!$C$12&lt;&gt;"Ready",LEN(RSA!C50)=0),"",INT(B160/2))</f>
        <v>0</v>
      </c>
      <c r="C161" s="1">
        <f>IF(OR(RSA!$C$12&lt;&gt;"Ready",LEN(RSA!C50)=0),"",MOD(C160*C160,RSA!$C$16))</f>
        <v>165</v>
      </c>
      <c r="D161" s="1">
        <f>IF(OR(RSA!$C$12&lt;&gt;"Ready",LEN(RSA!C50)=0),"",MOD(B161,2))</f>
        <v>0</v>
      </c>
      <c r="E161" s="1">
        <f>IF(OR(RSA!$C$12&lt;&gt;"Ready",LEN(RSA!C50)=0),"",G160)</f>
        <v>296</v>
      </c>
      <c r="F161" s="1">
        <f>IF(OR(RSA!$C$12&lt;&gt;"Ready",LEN(RSA!C50)=0),"",IF(D161=1,C161,1))</f>
        <v>1</v>
      </c>
      <c r="G161" s="1">
        <f>IF(OR(RSA!$C$12&lt;&gt;"Ready",LEN(RSA!C50)=0),"",MOD(E161*F161,RSA!$C$16))</f>
        <v>296</v>
      </c>
      <c r="H161" s="1"/>
      <c r="I161" s="1">
        <v>8</v>
      </c>
      <c r="J161" s="1">
        <f>IF(OR(RSA!$C$12&lt;&gt;"Ready",LEN(RSA!C50)=0),"",INT(J160/2))</f>
        <v>2</v>
      </c>
      <c r="K161" s="1">
        <f>IF(OR(RSA!$C$12&lt;&gt;"Ready",LEN(RSA!C50)=0),"",MOD(K160*K160,RSA!$C$16))</f>
        <v>165</v>
      </c>
      <c r="L161" s="1">
        <f>IF(OR(RSA!$C$12&lt;&gt;"Ready",LEN(RSA!C50)=0),"",MOD(J161,2))</f>
        <v>0</v>
      </c>
      <c r="M161" s="1">
        <f>IF(OR(RSA!$C$12&lt;&gt;"Ready",LEN(RSA!C50)=0),"",O160)</f>
        <v>155</v>
      </c>
      <c r="N161" s="1">
        <f>IF(OR(RSA!$C$12&lt;&gt;"Ready",LEN(RSA!C50)=0),"",IF(L161=1,K161,1))</f>
        <v>1</v>
      </c>
      <c r="O161" s="1">
        <f>IF(OR(RSA!$C$12&lt;&gt;"Ready",LEN(RSA!C50)=0),"",MOD(M161*N161,RSA!$C$16))</f>
        <v>155</v>
      </c>
    </row>
    <row r="162" spans="1:15" ht="21.95" customHeight="1">
      <c r="A162" s="1">
        <v>9</v>
      </c>
      <c r="B162" s="1">
        <f>IF(OR(RSA!$C$12&lt;&gt;"Ready",LEN(RSA!C50)=0),"",INT(B161/2))</f>
        <v>0</v>
      </c>
      <c r="C162" s="1">
        <f>IF(OR(RSA!$C$12&lt;&gt;"Ready",LEN(RSA!C50)=0),"",MOD(C161*C161,RSA!$C$16))</f>
        <v>42</v>
      </c>
      <c r="D162" s="1">
        <f>IF(OR(RSA!$C$12&lt;&gt;"Ready",LEN(RSA!C50)=0),"",MOD(B162,2))</f>
        <v>0</v>
      </c>
      <c r="E162" s="1">
        <f>IF(OR(RSA!$C$12&lt;&gt;"Ready",LEN(RSA!C50)=0),"",G161)</f>
        <v>296</v>
      </c>
      <c r="F162" s="1">
        <f>IF(OR(RSA!$C$12&lt;&gt;"Ready",LEN(RSA!C50)=0),"",IF(D162=1,C162,1))</f>
        <v>1</v>
      </c>
      <c r="G162" s="1">
        <f>IF(OR(RSA!$C$12&lt;&gt;"Ready",LEN(RSA!C50)=0),"",MOD(E162*F162,RSA!$C$16))</f>
        <v>296</v>
      </c>
      <c r="H162" s="1"/>
      <c r="I162" s="1">
        <v>9</v>
      </c>
      <c r="J162" s="1">
        <f>IF(OR(RSA!$C$12&lt;&gt;"Ready",LEN(RSA!C50)=0),"",INT(J161/2))</f>
        <v>1</v>
      </c>
      <c r="K162" s="1">
        <f>IF(OR(RSA!$C$12&lt;&gt;"Ready",LEN(RSA!C50)=0),"",MOD(K161*K161,RSA!$C$16))</f>
        <v>42</v>
      </c>
      <c r="L162" s="1">
        <f>IF(OR(RSA!$C$12&lt;&gt;"Ready",LEN(RSA!C50)=0),"",MOD(J162,2))</f>
        <v>1</v>
      </c>
      <c r="M162" s="1">
        <f>IF(OR(RSA!$C$12&lt;&gt;"Ready",LEN(RSA!C50)=0),"",O161)</f>
        <v>155</v>
      </c>
      <c r="N162" s="1">
        <f>IF(OR(RSA!$C$12&lt;&gt;"Ready",LEN(RSA!C50)=0),"",IF(L162=1,K162,1))</f>
        <v>42</v>
      </c>
      <c r="O162" s="1">
        <f>IF(OR(RSA!$C$12&lt;&gt;"Ready",LEN(RSA!C50)=0),"",MOD(M162*N162,RSA!$C$16))</f>
        <v>114</v>
      </c>
    </row>
    <row r="163" spans="1:15" ht="21.95" customHeight="1">
      <c r="A163" s="1">
        <v>10</v>
      </c>
      <c r="B163" s="1">
        <f>IF(OR(RSA!$C$12&lt;&gt;"Ready",LEN(RSA!C50)=0),"",INT(B162/2))</f>
        <v>0</v>
      </c>
      <c r="C163" s="1">
        <f>IF(OR(RSA!$C$12&lt;&gt;"Ready",LEN(RSA!C50)=0),"",MOD(C162*C162,RSA!$C$16))</f>
        <v>165</v>
      </c>
      <c r="D163" s="1">
        <f>IF(OR(RSA!$C$12&lt;&gt;"Ready",LEN(RSA!C50)=0),"",MOD(B163,2))</f>
        <v>0</v>
      </c>
      <c r="E163" s="1">
        <f>IF(OR(RSA!$C$12&lt;&gt;"Ready",LEN(RSA!C50)=0),"",G162)</f>
        <v>296</v>
      </c>
      <c r="F163" s="1">
        <f>IF(OR(RSA!$C$12&lt;&gt;"Ready",LEN(RSA!C50)=0),"",IF(D163=1,C163,1))</f>
        <v>1</v>
      </c>
      <c r="G163" s="1">
        <f>IF(OR(RSA!$C$12&lt;&gt;"Ready",LEN(RSA!C50)=0),"",MOD(E163*F163,RSA!$C$16))</f>
        <v>296</v>
      </c>
      <c r="H163" s="1"/>
      <c r="I163" s="1">
        <v>10</v>
      </c>
      <c r="J163" s="1">
        <f>IF(OR(RSA!$C$12&lt;&gt;"Ready",LEN(RSA!C50)=0),"",INT(J162/2))</f>
        <v>0</v>
      </c>
      <c r="K163" s="1">
        <f>IF(OR(RSA!$C$12&lt;&gt;"Ready",LEN(RSA!C50)=0),"",MOD(K162*K162,RSA!$C$16))</f>
        <v>165</v>
      </c>
      <c r="L163" s="1">
        <f>IF(OR(RSA!$C$12&lt;&gt;"Ready",LEN(RSA!C50)=0),"",MOD(J163,2))</f>
        <v>0</v>
      </c>
      <c r="M163" s="1">
        <f>IF(OR(RSA!$C$12&lt;&gt;"Ready",LEN(RSA!C50)=0),"",O162)</f>
        <v>114</v>
      </c>
      <c r="N163" s="1">
        <f>IF(OR(RSA!$C$12&lt;&gt;"Ready",LEN(RSA!C50)=0),"",IF(L163=1,K163,1))</f>
        <v>1</v>
      </c>
      <c r="O163" s="1">
        <f>IF(OR(RSA!$C$12&lt;&gt;"Ready",LEN(RSA!C50)=0),"",MOD(M163*N163,RSA!$C$16))</f>
        <v>114</v>
      </c>
    </row>
    <row r="164" spans="1:15" ht="21.95" customHeight="1">
      <c r="A164" s="1">
        <v>11</v>
      </c>
      <c r="B164" s="1">
        <f>IF(OR(RSA!$C$12&lt;&gt;"Ready",LEN(RSA!C50)=0),"",INT(B163/2))</f>
        <v>0</v>
      </c>
      <c r="C164" s="1">
        <f>IF(OR(RSA!$C$12&lt;&gt;"Ready",LEN(RSA!C50)=0),"",MOD(C163*C163,RSA!$C$16))</f>
        <v>42</v>
      </c>
      <c r="D164" s="1">
        <f>IF(OR(RSA!$C$12&lt;&gt;"Ready",LEN(RSA!C50)=0),"",MOD(B164,2))</f>
        <v>0</v>
      </c>
      <c r="E164" s="1">
        <f>IF(OR(RSA!$C$12&lt;&gt;"Ready",LEN(RSA!C50)=0),"",G163)</f>
        <v>296</v>
      </c>
      <c r="F164" s="1">
        <f>IF(OR(RSA!$C$12&lt;&gt;"Ready",LEN(RSA!C50)=0),"",IF(D164=1,C164,1))</f>
        <v>1</v>
      </c>
      <c r="G164" s="1">
        <f>IF(OR(RSA!$C$12&lt;&gt;"Ready",LEN(RSA!C50)=0),"",MOD(E164*F164,RSA!$C$16))</f>
        <v>296</v>
      </c>
      <c r="H164" s="1"/>
      <c r="I164" s="1">
        <v>11</v>
      </c>
      <c r="J164" s="1">
        <f>IF(OR(RSA!$C$12&lt;&gt;"Ready",LEN(RSA!C50)=0),"",INT(J163/2))</f>
        <v>0</v>
      </c>
      <c r="K164" s="1">
        <f>IF(OR(RSA!$C$12&lt;&gt;"Ready",LEN(RSA!C50)=0),"",MOD(K163*K163,RSA!$C$16))</f>
        <v>42</v>
      </c>
      <c r="L164" s="1">
        <f>IF(OR(RSA!$C$12&lt;&gt;"Ready",LEN(RSA!C50)=0),"",MOD(J164,2))</f>
        <v>0</v>
      </c>
      <c r="M164" s="1">
        <f>IF(OR(RSA!$C$12&lt;&gt;"Ready",LEN(RSA!C50)=0),"",O163)</f>
        <v>114</v>
      </c>
      <c r="N164" s="1">
        <f>IF(OR(RSA!$C$12&lt;&gt;"Ready",LEN(RSA!C50)=0),"",IF(L164=1,K164,1))</f>
        <v>1</v>
      </c>
      <c r="O164" s="1">
        <f>IF(OR(RSA!$C$12&lt;&gt;"Ready",LEN(RSA!C50)=0),"",MOD(M164*N164,RSA!$C$16))</f>
        <v>114</v>
      </c>
    </row>
    <row r="165" spans="1:15" ht="21.95" customHeight="1">
      <c r="A165" s="1">
        <v>12</v>
      </c>
      <c r="B165" s="1">
        <f>IF(OR(RSA!$C$12&lt;&gt;"Ready",LEN(RSA!C50)=0),"",INT(B164/2))</f>
        <v>0</v>
      </c>
      <c r="C165" s="1">
        <f>IF(OR(RSA!$C$12&lt;&gt;"Ready",LEN(RSA!C50)=0),"",MOD(C164*C164,RSA!$C$16))</f>
        <v>165</v>
      </c>
      <c r="D165" s="1">
        <f>IF(OR(RSA!$C$12&lt;&gt;"Ready",LEN(RSA!C50)=0),"",MOD(B165,2))</f>
        <v>0</v>
      </c>
      <c r="E165" s="1">
        <f>IF(OR(RSA!$C$12&lt;&gt;"Ready",LEN(RSA!C50)=0),"",G164)</f>
        <v>296</v>
      </c>
      <c r="F165" s="1">
        <f>IF(OR(RSA!$C$12&lt;&gt;"Ready",LEN(RSA!C50)=0),"",IF(D165=1,C165,1))</f>
        <v>1</v>
      </c>
      <c r="G165" s="1">
        <f>IF(OR(RSA!$C$12&lt;&gt;"Ready",LEN(RSA!C50)=0),"",MOD(E165*F165,RSA!$C$16))</f>
        <v>296</v>
      </c>
      <c r="H165" s="1"/>
      <c r="I165" s="1">
        <v>12</v>
      </c>
      <c r="J165" s="1">
        <f>IF(OR(RSA!$C$12&lt;&gt;"Ready",LEN(RSA!C50)=0),"",INT(J164/2))</f>
        <v>0</v>
      </c>
      <c r="K165" s="1">
        <f>IF(OR(RSA!$C$12&lt;&gt;"Ready",LEN(RSA!C50)=0),"",MOD(K164*K164,RSA!$C$16))</f>
        <v>165</v>
      </c>
      <c r="L165" s="1">
        <f>IF(OR(RSA!$C$12&lt;&gt;"Ready",LEN(RSA!C50)=0),"",MOD(J165,2))</f>
        <v>0</v>
      </c>
      <c r="M165" s="1">
        <f>IF(OR(RSA!$C$12&lt;&gt;"Ready",LEN(RSA!C50)=0),"",O164)</f>
        <v>114</v>
      </c>
      <c r="N165" s="1">
        <f>IF(OR(RSA!$C$12&lt;&gt;"Ready",LEN(RSA!C50)=0),"",IF(L165=1,K165,1))</f>
        <v>1</v>
      </c>
      <c r="O165" s="1">
        <f>IF(OR(RSA!$C$12&lt;&gt;"Ready",LEN(RSA!C50)=0),"",MOD(M165*N165,RSA!$C$16))</f>
        <v>114</v>
      </c>
    </row>
    <row r="166" spans="1:15" ht="21.95" customHeight="1">
      <c r="A166" s="1">
        <v>13</v>
      </c>
      <c r="B166" s="1">
        <f>IF(OR(RSA!$C$12&lt;&gt;"Ready",LEN(RSA!C50)=0),"",INT(B165/2))</f>
        <v>0</v>
      </c>
      <c r="C166" s="1">
        <f>IF(OR(RSA!$C$12&lt;&gt;"Ready",LEN(RSA!C50)=0),"",MOD(C165*C165,RSA!$C$16))</f>
        <v>42</v>
      </c>
      <c r="D166" s="1">
        <f>IF(OR(RSA!$C$12&lt;&gt;"Ready",LEN(RSA!C50)=0),"",MOD(B166,2))</f>
        <v>0</v>
      </c>
      <c r="E166" s="1">
        <f>IF(OR(RSA!$C$12&lt;&gt;"Ready",LEN(RSA!C50)=0),"",G165)</f>
        <v>296</v>
      </c>
      <c r="F166" s="1">
        <f>IF(OR(RSA!$C$12&lt;&gt;"Ready",LEN(RSA!C50)=0),"",IF(D166=1,C166,1))</f>
        <v>1</v>
      </c>
      <c r="G166" s="1">
        <f>IF(OR(RSA!$C$12&lt;&gt;"Ready",LEN(RSA!C50)=0),"",MOD(E166*F166,RSA!$C$16))</f>
        <v>296</v>
      </c>
      <c r="H166" s="1"/>
      <c r="I166" s="1">
        <v>13</v>
      </c>
      <c r="J166" s="1">
        <f>IF(OR(RSA!$C$12&lt;&gt;"Ready",LEN(RSA!C50)=0),"",INT(J165/2))</f>
        <v>0</v>
      </c>
      <c r="K166" s="1">
        <f>IF(OR(RSA!$C$12&lt;&gt;"Ready",LEN(RSA!C50)=0),"",MOD(K165*K165,RSA!$C$16))</f>
        <v>42</v>
      </c>
      <c r="L166" s="1">
        <f>IF(OR(RSA!$C$12&lt;&gt;"Ready",LEN(RSA!C50)=0),"",MOD(J166,2))</f>
        <v>0</v>
      </c>
      <c r="M166" s="1">
        <f>IF(OR(RSA!$C$12&lt;&gt;"Ready",LEN(RSA!C50)=0),"",O165)</f>
        <v>114</v>
      </c>
      <c r="N166" s="1">
        <f>IF(OR(RSA!$C$12&lt;&gt;"Ready",LEN(RSA!C50)=0),"",IF(L166=1,K166,1))</f>
        <v>1</v>
      </c>
      <c r="O166" s="1">
        <f>IF(OR(RSA!$C$12&lt;&gt;"Ready",LEN(RSA!C50)=0),"",MOD(M166*N166,RSA!$C$16))</f>
        <v>114</v>
      </c>
    </row>
    <row r="167" spans="1:15" ht="21.95" customHeight="1">
      <c r="A167" s="1">
        <v>14</v>
      </c>
      <c r="B167" s="1">
        <f>IF(OR(RSA!$C$12&lt;&gt;"Ready",LEN(RSA!C50)=0),"",INT(B166/2))</f>
        <v>0</v>
      </c>
      <c r="C167" s="1">
        <f>IF(OR(RSA!$C$12&lt;&gt;"Ready",LEN(RSA!C50)=0),"",MOD(C166*C166,RSA!$C$16))</f>
        <v>165</v>
      </c>
      <c r="D167" s="1">
        <f>IF(OR(RSA!$C$12&lt;&gt;"Ready",LEN(RSA!C50)=0),"",MOD(B167,2))</f>
        <v>0</v>
      </c>
      <c r="E167" s="1">
        <f>IF(OR(RSA!$C$12&lt;&gt;"Ready",LEN(RSA!C50)=0),"",G166)</f>
        <v>296</v>
      </c>
      <c r="F167" s="1">
        <f>IF(OR(RSA!$C$12&lt;&gt;"Ready",LEN(RSA!C50)=0),"",IF(D167=1,C167,1))</f>
        <v>1</v>
      </c>
      <c r="G167" s="12">
        <f>IF(OR(RSA!$C$12&lt;&gt;"Ready",LEN(RSA!C50)=0),"",MOD(E167*F167,RSA!$C$16))</f>
        <v>296</v>
      </c>
      <c r="H167" s="1"/>
      <c r="I167" s="1">
        <v>14</v>
      </c>
      <c r="J167" s="1">
        <f>IF(OR(RSA!$C$12&lt;&gt;"Ready",LEN(RSA!C50)=0),"",INT(J166/2))</f>
        <v>0</v>
      </c>
      <c r="K167" s="1">
        <f>IF(OR(RSA!$C$12&lt;&gt;"Ready",LEN(RSA!C50)=0),"",MOD(K166*K166,RSA!$C$16))</f>
        <v>165</v>
      </c>
      <c r="L167" s="1">
        <f>IF(OR(RSA!$C$12&lt;&gt;"Ready",LEN(RSA!C50)=0),"",MOD(J167,2))</f>
        <v>0</v>
      </c>
      <c r="M167" s="1">
        <f>IF(OR(RSA!$C$12&lt;&gt;"Ready",LEN(RSA!C50)=0),"",O166)</f>
        <v>114</v>
      </c>
      <c r="N167" s="1">
        <f>IF(OR(RSA!$C$12&lt;&gt;"Ready",LEN(RSA!C50)=0),"",IF(L167=1,K167,1))</f>
        <v>1</v>
      </c>
      <c r="O167" s="12">
        <f>IF(OR(RSA!$C$12&lt;&gt;"Ready",LEN(RSA!C50)=0),"",MOD(M167*N167,RSA!$C$16))</f>
        <v>114</v>
      </c>
    </row>
    <row r="168" spans="1:15" ht="21.9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21.9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21.95" customHeight="1">
      <c r="A170" s="1" t="s">
        <v>100</v>
      </c>
      <c r="B170" s="1"/>
      <c r="C170" s="1"/>
      <c r="D170" s="1"/>
      <c r="E170" s="1"/>
      <c r="F170" s="1"/>
      <c r="G170" s="1"/>
      <c r="H170" s="1"/>
      <c r="I170" s="1" t="s">
        <v>101</v>
      </c>
      <c r="J170" s="1"/>
      <c r="K170" s="1"/>
      <c r="L170" s="1"/>
      <c r="M170" s="1"/>
      <c r="N170" s="1"/>
      <c r="O170" s="1"/>
    </row>
    <row r="171" spans="1:15" ht="32.1" customHeight="1">
      <c r="A171" s="4" t="s">
        <v>77</v>
      </c>
      <c r="B171" s="4" t="s">
        <v>78</v>
      </c>
      <c r="C171" s="4" t="s">
        <v>79</v>
      </c>
      <c r="D171" s="4" t="s">
        <v>80</v>
      </c>
      <c r="E171" s="4" t="s">
        <v>81</v>
      </c>
      <c r="F171" s="4" t="s">
        <v>82</v>
      </c>
      <c r="G171" s="4" t="s">
        <v>83</v>
      </c>
      <c r="H171" s="1"/>
      <c r="I171" s="4" t="s">
        <v>77</v>
      </c>
      <c r="J171" s="4" t="s">
        <v>78</v>
      </c>
      <c r="K171" s="4" t="s">
        <v>79</v>
      </c>
      <c r="L171" s="4" t="s">
        <v>80</v>
      </c>
      <c r="M171" s="4" t="s">
        <v>81</v>
      </c>
      <c r="N171" s="4" t="s">
        <v>82</v>
      </c>
      <c r="O171" s="4" t="s">
        <v>83</v>
      </c>
    </row>
    <row r="172" spans="1:15" ht="21.95" customHeight="1">
      <c r="A172" s="1">
        <v>1</v>
      </c>
      <c r="B172" s="1">
        <f>IF(OR(RSA!$C$12&lt;&gt;"Ready",LEN(RSA!C51)=0),"",RSA!$C$18)</f>
        <v>7</v>
      </c>
      <c r="C172" s="1">
        <f>IF(OR(RSA!$C$12&lt;&gt;"Ready",LEN(RSA!C51)=0),"",RSA!D51)</f>
        <v>108</v>
      </c>
      <c r="D172" s="1">
        <f>IF(OR(RSA!$C$12&lt;&gt;"Ready",LEN(RSA!C51)=0),"",MOD(B172,2))</f>
        <v>1</v>
      </c>
      <c r="E172" s="1">
        <f>IF(OR(RSA!$C$12&lt;&gt;"Ready",LEN(RSA!C51)=0),"",1)</f>
        <v>1</v>
      </c>
      <c r="F172" s="1">
        <f>IF(OR(RSA!$C$12&lt;&gt;"Ready",LEN(RSA!C51)=0),"",IF(D172=1,C172,1))</f>
        <v>108</v>
      </c>
      <c r="G172" s="1">
        <f>IF(OR(RSA!$C$12&lt;&gt;"Ready",LEN(RSA!C51)=0),"",MOD(E172*F172,RSA!$C$16))</f>
        <v>108</v>
      </c>
      <c r="H172" s="1"/>
      <c r="I172" s="1">
        <v>1</v>
      </c>
      <c r="J172" s="1">
        <f>IF(OR(RSA!$C$12&lt;&gt;"Ready",LEN(RSA!C51)=0),"",RSA!$C$19)</f>
        <v>343</v>
      </c>
      <c r="K172" s="1">
        <f>IF(OR(RSA!$C$12&lt;&gt;"Ready",LEN(RSA!C51)=0),"",RSA!F51)</f>
        <v>212</v>
      </c>
      <c r="L172" s="1">
        <f>IF(OR(RSA!$C$12&lt;&gt;"Ready",LEN(RSA!C51)=0),"",MOD(J172,2))</f>
        <v>1</v>
      </c>
      <c r="M172" s="1">
        <f>IF(OR(RSA!$C$12&lt;&gt;"Ready",LEN(RSA!C51)=0),"",1)</f>
        <v>1</v>
      </c>
      <c r="N172" s="1">
        <f>IF(OR(RSA!$C$12&lt;&gt;"Ready",LEN(RSA!C51)=0),"",IF(L172=1,K172,1))</f>
        <v>212</v>
      </c>
      <c r="O172" s="1">
        <f>IF(OR(RSA!$C$12&lt;&gt;"Ready",LEN(RSA!C51)=0),"",MOD(M172*N172,RSA!$C$16))</f>
        <v>212</v>
      </c>
    </row>
    <row r="173" spans="1:15" ht="21.95" customHeight="1">
      <c r="A173" s="1">
        <v>2</v>
      </c>
      <c r="B173" s="1">
        <f>IF(OR(RSA!$C$12&lt;&gt;"Ready",LEN(RSA!C51)=0),"",INT(B172/2))</f>
        <v>3</v>
      </c>
      <c r="C173" s="1">
        <f>IF(OR(RSA!$C$12&lt;&gt;"Ready",LEN(RSA!C51)=0),"",MOD(C172*C172,RSA!$C$16))</f>
        <v>471</v>
      </c>
      <c r="D173" s="1">
        <f>IF(OR(RSA!$C$12&lt;&gt;"Ready",LEN(RSA!C51)=0),"",MOD(B173,2))</f>
        <v>1</v>
      </c>
      <c r="E173" s="1">
        <f>IF(OR(RSA!$C$12&lt;&gt;"Ready",LEN(RSA!C51)=0),"",G172)</f>
        <v>108</v>
      </c>
      <c r="F173" s="1">
        <f>IF(OR(RSA!$C$12&lt;&gt;"Ready",LEN(RSA!C51)=0),"",IF(D173=1,C173,1))</f>
        <v>471</v>
      </c>
      <c r="G173" s="1">
        <f>IF(OR(RSA!$C$12&lt;&gt;"Ready",LEN(RSA!C51)=0),"",MOD(E173*F173,RSA!$C$16))</f>
        <v>233</v>
      </c>
      <c r="H173" s="1"/>
      <c r="I173" s="1">
        <v>2</v>
      </c>
      <c r="J173" s="1">
        <f>IF(OR(RSA!$C$12&lt;&gt;"Ready",LEN(RSA!C51)=0),"",INT(J172/2))</f>
        <v>171</v>
      </c>
      <c r="K173" s="1">
        <f>IF(OR(RSA!$C$12&lt;&gt;"Ready",LEN(RSA!C51)=0),"",MOD(K172*K172,RSA!$C$16))</f>
        <v>172</v>
      </c>
      <c r="L173" s="1">
        <f>IF(OR(RSA!$C$12&lt;&gt;"Ready",LEN(RSA!C51)=0),"",MOD(J173,2))</f>
        <v>1</v>
      </c>
      <c r="M173" s="1">
        <f>IF(OR(RSA!$C$12&lt;&gt;"Ready",LEN(RSA!C51)=0),"",O172)</f>
        <v>212</v>
      </c>
      <c r="N173" s="1">
        <f>IF(OR(RSA!$C$12&lt;&gt;"Ready",LEN(RSA!C51)=0),"",IF(L173=1,K173,1))</f>
        <v>172</v>
      </c>
      <c r="O173" s="1">
        <f>IF(OR(RSA!$C$12&lt;&gt;"Ready",LEN(RSA!C51)=0),"",MOD(M173*N173,RSA!$C$16))</f>
        <v>220</v>
      </c>
    </row>
    <row r="174" spans="1:15" ht="21.95" customHeight="1">
      <c r="A174" s="1">
        <v>3</v>
      </c>
      <c r="B174" s="1">
        <f>IF(OR(RSA!$C$12&lt;&gt;"Ready",LEN(RSA!C51)=0),"",INT(B173/2))</f>
        <v>1</v>
      </c>
      <c r="C174" s="1">
        <f>IF(OR(RSA!$C$12&lt;&gt;"Ready",LEN(RSA!C51)=0),"",MOD(C173*C173,RSA!$C$16))</f>
        <v>113</v>
      </c>
      <c r="D174" s="1">
        <f>IF(OR(RSA!$C$12&lt;&gt;"Ready",LEN(RSA!C51)=0),"",MOD(B174,2))</f>
        <v>1</v>
      </c>
      <c r="E174" s="1">
        <f>IF(OR(RSA!$C$12&lt;&gt;"Ready",LEN(RSA!C51)=0),"",G173)</f>
        <v>233</v>
      </c>
      <c r="F174" s="1">
        <f>IF(OR(RSA!$C$12&lt;&gt;"Ready",LEN(RSA!C51)=0),"",IF(D174=1,C174,1))</f>
        <v>113</v>
      </c>
      <c r="G174" s="1">
        <f>IF(OR(RSA!$C$12&lt;&gt;"Ready",LEN(RSA!C51)=0),"",MOD(E174*F174,RSA!$C$16))</f>
        <v>212</v>
      </c>
      <c r="H174" s="1"/>
      <c r="I174" s="1">
        <v>3</v>
      </c>
      <c r="J174" s="1">
        <f>IF(OR(RSA!$C$12&lt;&gt;"Ready",LEN(RSA!C51)=0),"",INT(J173/2))</f>
        <v>85</v>
      </c>
      <c r="K174" s="1">
        <f>IF(OR(RSA!$C$12&lt;&gt;"Ready",LEN(RSA!C51)=0),"",MOD(K173*K173,RSA!$C$16))</f>
        <v>269</v>
      </c>
      <c r="L174" s="1">
        <f>IF(OR(RSA!$C$12&lt;&gt;"Ready",LEN(RSA!C51)=0),"",MOD(J174,2))</f>
        <v>1</v>
      </c>
      <c r="M174" s="1">
        <f>IF(OR(RSA!$C$12&lt;&gt;"Ready",LEN(RSA!C51)=0),"",O173)</f>
        <v>220</v>
      </c>
      <c r="N174" s="1">
        <f>IF(OR(RSA!$C$12&lt;&gt;"Ready",LEN(RSA!C51)=0),"",IF(L174=1,K174,1))</f>
        <v>269</v>
      </c>
      <c r="O174" s="1">
        <f>IF(OR(RSA!$C$12&lt;&gt;"Ready",LEN(RSA!C51)=0),"",MOD(M174*N174,RSA!$C$16))</f>
        <v>17</v>
      </c>
    </row>
    <row r="175" spans="1:15" ht="21.95" customHeight="1">
      <c r="A175" s="1">
        <v>4</v>
      </c>
      <c r="B175" s="1">
        <f>IF(OR(RSA!$C$12&lt;&gt;"Ready",LEN(RSA!C51)=0),"",INT(B174/2))</f>
        <v>0</v>
      </c>
      <c r="C175" s="1">
        <f>IF(OR(RSA!$C$12&lt;&gt;"Ready",LEN(RSA!C51)=0),"",MOD(C174*C174,RSA!$C$16))</f>
        <v>510</v>
      </c>
      <c r="D175" s="1">
        <f>IF(OR(RSA!$C$12&lt;&gt;"Ready",LEN(RSA!C51)=0),"",MOD(B175,2))</f>
        <v>0</v>
      </c>
      <c r="E175" s="1">
        <f>IF(OR(RSA!$C$12&lt;&gt;"Ready",LEN(RSA!C51)=0),"",G174)</f>
        <v>212</v>
      </c>
      <c r="F175" s="1">
        <f>IF(OR(RSA!$C$12&lt;&gt;"Ready",LEN(RSA!C51)=0),"",IF(D175=1,C175,1))</f>
        <v>1</v>
      </c>
      <c r="G175" s="1">
        <f>IF(OR(RSA!$C$12&lt;&gt;"Ready",LEN(RSA!C51)=0),"",MOD(E175*F175,RSA!$C$16))</f>
        <v>212</v>
      </c>
      <c r="H175" s="1"/>
      <c r="I175" s="1">
        <v>4</v>
      </c>
      <c r="J175" s="1">
        <f>IF(OR(RSA!$C$12&lt;&gt;"Ready",LEN(RSA!C51)=0),"",INT(J174/2))</f>
        <v>42</v>
      </c>
      <c r="K175" s="1">
        <f>IF(OR(RSA!$C$12&lt;&gt;"Ready",LEN(RSA!C51)=0),"",MOD(K174*K174,RSA!$C$16))</f>
        <v>406</v>
      </c>
      <c r="L175" s="1">
        <f>IF(OR(RSA!$C$12&lt;&gt;"Ready",LEN(RSA!C51)=0),"",MOD(J175,2))</f>
        <v>0</v>
      </c>
      <c r="M175" s="1">
        <f>IF(OR(RSA!$C$12&lt;&gt;"Ready",LEN(RSA!C51)=0),"",O174)</f>
        <v>17</v>
      </c>
      <c r="N175" s="1">
        <f>IF(OR(RSA!$C$12&lt;&gt;"Ready",LEN(RSA!C51)=0),"",IF(L175=1,K175,1))</f>
        <v>1</v>
      </c>
      <c r="O175" s="1">
        <f>IF(OR(RSA!$C$12&lt;&gt;"Ready",LEN(RSA!C51)=0),"",MOD(M175*N175,RSA!$C$16))</f>
        <v>17</v>
      </c>
    </row>
    <row r="176" spans="1:15" ht="21.95" customHeight="1">
      <c r="A176" s="1">
        <v>5</v>
      </c>
      <c r="B176" s="1">
        <f>IF(OR(RSA!$C$12&lt;&gt;"Ready",LEN(RSA!C51)=0),"",INT(B175/2))</f>
        <v>0</v>
      </c>
      <c r="C176" s="1">
        <f>IF(OR(RSA!$C$12&lt;&gt;"Ready",LEN(RSA!C51)=0),"",MOD(C175*C175,RSA!$C$16))</f>
        <v>529</v>
      </c>
      <c r="D176" s="1">
        <f>IF(OR(RSA!$C$12&lt;&gt;"Ready",LEN(RSA!C51)=0),"",MOD(B176,2))</f>
        <v>0</v>
      </c>
      <c r="E176" s="1">
        <f>IF(OR(RSA!$C$12&lt;&gt;"Ready",LEN(RSA!C51)=0),"",G175)</f>
        <v>212</v>
      </c>
      <c r="F176" s="1">
        <f>IF(OR(RSA!$C$12&lt;&gt;"Ready",LEN(RSA!C51)=0),"",IF(D176=1,C176,1))</f>
        <v>1</v>
      </c>
      <c r="G176" s="1">
        <f>IF(OR(RSA!$C$12&lt;&gt;"Ready",LEN(RSA!C51)=0),"",MOD(E176*F176,RSA!$C$16))</f>
        <v>212</v>
      </c>
      <c r="H176" s="1"/>
      <c r="I176" s="1">
        <v>5</v>
      </c>
      <c r="J176" s="1">
        <f>IF(OR(RSA!$C$12&lt;&gt;"Ready",LEN(RSA!C51)=0),"",INT(J175/2))</f>
        <v>21</v>
      </c>
      <c r="K176" s="1">
        <f>IF(OR(RSA!$C$12&lt;&gt;"Ready",LEN(RSA!C51)=0),"",MOD(K175*K175,RSA!$C$16))</f>
        <v>139</v>
      </c>
      <c r="L176" s="1">
        <f>IF(OR(RSA!$C$12&lt;&gt;"Ready",LEN(RSA!C51)=0),"",MOD(J176,2))</f>
        <v>1</v>
      </c>
      <c r="M176" s="1">
        <f>IF(OR(RSA!$C$12&lt;&gt;"Ready",LEN(RSA!C51)=0),"",O175)</f>
        <v>17</v>
      </c>
      <c r="N176" s="1">
        <f>IF(OR(RSA!$C$12&lt;&gt;"Ready",LEN(RSA!C51)=0),"",IF(L176=1,K176,1))</f>
        <v>139</v>
      </c>
      <c r="O176" s="1">
        <f>IF(OR(RSA!$C$12&lt;&gt;"Ready",LEN(RSA!C51)=0),"",MOD(M176*N176,RSA!$C$16))</f>
        <v>231</v>
      </c>
    </row>
    <row r="177" spans="1:15" ht="21.95" customHeight="1">
      <c r="A177" s="1">
        <v>6</v>
      </c>
      <c r="B177" s="1">
        <f>IF(OR(RSA!$C$12&lt;&gt;"Ready",LEN(RSA!C51)=0),"",INT(B176/2))</f>
        <v>0</v>
      </c>
      <c r="C177" s="1">
        <f>IF(OR(RSA!$C$12&lt;&gt;"Ready",LEN(RSA!C51)=0),"",MOD(C176*C176,RSA!$C$16))</f>
        <v>16</v>
      </c>
      <c r="D177" s="1">
        <f>IF(OR(RSA!$C$12&lt;&gt;"Ready",LEN(RSA!C51)=0),"",MOD(B177,2))</f>
        <v>0</v>
      </c>
      <c r="E177" s="1">
        <f>IF(OR(RSA!$C$12&lt;&gt;"Ready",LEN(RSA!C51)=0),"",G176)</f>
        <v>212</v>
      </c>
      <c r="F177" s="1">
        <f>IF(OR(RSA!$C$12&lt;&gt;"Ready",LEN(RSA!C51)=0),"",IF(D177=1,C177,1))</f>
        <v>1</v>
      </c>
      <c r="G177" s="1">
        <f>IF(OR(RSA!$C$12&lt;&gt;"Ready",LEN(RSA!C51)=0),"",MOD(E177*F177,RSA!$C$16))</f>
        <v>212</v>
      </c>
      <c r="H177" s="1"/>
      <c r="I177" s="1">
        <v>6</v>
      </c>
      <c r="J177" s="1">
        <f>IF(OR(RSA!$C$12&lt;&gt;"Ready",LEN(RSA!C51)=0),"",INT(J176/2))</f>
        <v>10</v>
      </c>
      <c r="K177" s="1">
        <f>IF(OR(RSA!$C$12&lt;&gt;"Ready",LEN(RSA!C51)=0),"",MOD(K176*K176,RSA!$C$16))</f>
        <v>133</v>
      </c>
      <c r="L177" s="1">
        <f>IF(OR(RSA!$C$12&lt;&gt;"Ready",LEN(RSA!C51)=0),"",MOD(J177,2))</f>
        <v>0</v>
      </c>
      <c r="M177" s="1">
        <f>IF(OR(RSA!$C$12&lt;&gt;"Ready",LEN(RSA!C51)=0),"",O176)</f>
        <v>231</v>
      </c>
      <c r="N177" s="1">
        <f>IF(OR(RSA!$C$12&lt;&gt;"Ready",LEN(RSA!C51)=0),"",IF(L177=1,K177,1))</f>
        <v>1</v>
      </c>
      <c r="O177" s="1">
        <f>IF(OR(RSA!$C$12&lt;&gt;"Ready",LEN(RSA!C51)=0),"",MOD(M177*N177,RSA!$C$16))</f>
        <v>231</v>
      </c>
    </row>
    <row r="178" spans="1:15" ht="21.95" customHeight="1">
      <c r="A178" s="1">
        <v>7</v>
      </c>
      <c r="B178" s="1">
        <f>IF(OR(RSA!$C$12&lt;&gt;"Ready",LEN(RSA!C51)=0),"",INT(B177/2))</f>
        <v>0</v>
      </c>
      <c r="C178" s="1">
        <f>IF(OR(RSA!$C$12&lt;&gt;"Ready",LEN(RSA!C51)=0),"",MOD(C177*C177,RSA!$C$16))</f>
        <v>256</v>
      </c>
      <c r="D178" s="1">
        <f>IF(OR(RSA!$C$12&lt;&gt;"Ready",LEN(RSA!C51)=0),"",MOD(B178,2))</f>
        <v>0</v>
      </c>
      <c r="E178" s="1">
        <f>IF(OR(RSA!$C$12&lt;&gt;"Ready",LEN(RSA!C51)=0),"",G177)</f>
        <v>212</v>
      </c>
      <c r="F178" s="1">
        <f>IF(OR(RSA!$C$12&lt;&gt;"Ready",LEN(RSA!C51)=0),"",IF(D178=1,C178,1))</f>
        <v>1</v>
      </c>
      <c r="G178" s="1">
        <f>IF(OR(RSA!$C$12&lt;&gt;"Ready",LEN(RSA!C51)=0),"",MOD(E178*F178,RSA!$C$16))</f>
        <v>212</v>
      </c>
      <c r="H178" s="1"/>
      <c r="I178" s="1">
        <v>7</v>
      </c>
      <c r="J178" s="1">
        <f>IF(OR(RSA!$C$12&lt;&gt;"Ready",LEN(RSA!C51)=0),"",INT(J177/2))</f>
        <v>5</v>
      </c>
      <c r="K178" s="1">
        <f>IF(OR(RSA!$C$12&lt;&gt;"Ready",LEN(RSA!C51)=0),"",MOD(K177*K177,RSA!$C$16))</f>
        <v>100</v>
      </c>
      <c r="L178" s="1">
        <f>IF(OR(RSA!$C$12&lt;&gt;"Ready",LEN(RSA!C51)=0),"",MOD(J178,2))</f>
        <v>1</v>
      </c>
      <c r="M178" s="1">
        <f>IF(OR(RSA!$C$12&lt;&gt;"Ready",LEN(RSA!C51)=0),"",O177)</f>
        <v>231</v>
      </c>
      <c r="N178" s="1">
        <f>IF(OR(RSA!$C$12&lt;&gt;"Ready",LEN(RSA!C51)=0),"",IF(L178=1,K178,1))</f>
        <v>100</v>
      </c>
      <c r="O178" s="1">
        <f>IF(OR(RSA!$C$12&lt;&gt;"Ready",LEN(RSA!C51)=0),"",MOD(M178*N178,RSA!$C$16))</f>
        <v>181</v>
      </c>
    </row>
    <row r="179" spans="1:15" ht="21.95" customHeight="1">
      <c r="A179" s="1">
        <v>8</v>
      </c>
      <c r="B179" s="1">
        <f>IF(OR(RSA!$C$12&lt;&gt;"Ready",LEN(RSA!C51)=0),"",INT(B178/2))</f>
        <v>0</v>
      </c>
      <c r="C179" s="1">
        <f>IF(OR(RSA!$C$12&lt;&gt;"Ready",LEN(RSA!C51)=0),"",MOD(C178*C178,RSA!$C$16))</f>
        <v>510</v>
      </c>
      <c r="D179" s="1">
        <f>IF(OR(RSA!$C$12&lt;&gt;"Ready",LEN(RSA!C51)=0),"",MOD(B179,2))</f>
        <v>0</v>
      </c>
      <c r="E179" s="1">
        <f>IF(OR(RSA!$C$12&lt;&gt;"Ready",LEN(RSA!C51)=0),"",G178)</f>
        <v>212</v>
      </c>
      <c r="F179" s="1">
        <f>IF(OR(RSA!$C$12&lt;&gt;"Ready",LEN(RSA!C51)=0),"",IF(D179=1,C179,1))</f>
        <v>1</v>
      </c>
      <c r="G179" s="1">
        <f>IF(OR(RSA!$C$12&lt;&gt;"Ready",LEN(RSA!C51)=0),"",MOD(E179*F179,RSA!$C$16))</f>
        <v>212</v>
      </c>
      <c r="H179" s="1"/>
      <c r="I179" s="1">
        <v>8</v>
      </c>
      <c r="J179" s="1">
        <f>IF(OR(RSA!$C$12&lt;&gt;"Ready",LEN(RSA!C51)=0),"",INT(J178/2))</f>
        <v>2</v>
      </c>
      <c r="K179" s="1">
        <f>IF(OR(RSA!$C$12&lt;&gt;"Ready",LEN(RSA!C51)=0),"",MOD(K178*K178,RSA!$C$16))</f>
        <v>406</v>
      </c>
      <c r="L179" s="1">
        <f>IF(OR(RSA!$C$12&lt;&gt;"Ready",LEN(RSA!C51)=0),"",MOD(J179,2))</f>
        <v>0</v>
      </c>
      <c r="M179" s="1">
        <f>IF(OR(RSA!$C$12&lt;&gt;"Ready",LEN(RSA!C51)=0),"",O178)</f>
        <v>181</v>
      </c>
      <c r="N179" s="1">
        <f>IF(OR(RSA!$C$12&lt;&gt;"Ready",LEN(RSA!C51)=0),"",IF(L179=1,K179,1))</f>
        <v>1</v>
      </c>
      <c r="O179" s="1">
        <f>IF(OR(RSA!$C$12&lt;&gt;"Ready",LEN(RSA!C51)=0),"",MOD(M179*N179,RSA!$C$16))</f>
        <v>181</v>
      </c>
    </row>
    <row r="180" spans="1:15" ht="21.95" customHeight="1">
      <c r="A180" s="1">
        <v>9</v>
      </c>
      <c r="B180" s="1">
        <f>IF(OR(RSA!$C$12&lt;&gt;"Ready",LEN(RSA!C51)=0),"",INT(B179/2))</f>
        <v>0</v>
      </c>
      <c r="C180" s="1">
        <f>IF(OR(RSA!$C$12&lt;&gt;"Ready",LEN(RSA!C51)=0),"",MOD(C179*C179,RSA!$C$16))</f>
        <v>529</v>
      </c>
      <c r="D180" s="1">
        <f>IF(OR(RSA!$C$12&lt;&gt;"Ready",LEN(RSA!C51)=0),"",MOD(B180,2))</f>
        <v>0</v>
      </c>
      <c r="E180" s="1">
        <f>IF(OR(RSA!$C$12&lt;&gt;"Ready",LEN(RSA!C51)=0),"",G179)</f>
        <v>212</v>
      </c>
      <c r="F180" s="1">
        <f>IF(OR(RSA!$C$12&lt;&gt;"Ready",LEN(RSA!C51)=0),"",IF(D180=1,C180,1))</f>
        <v>1</v>
      </c>
      <c r="G180" s="1">
        <f>IF(OR(RSA!$C$12&lt;&gt;"Ready",LEN(RSA!C51)=0),"",MOD(E180*F180,RSA!$C$16))</f>
        <v>212</v>
      </c>
      <c r="H180" s="1"/>
      <c r="I180" s="1">
        <v>9</v>
      </c>
      <c r="J180" s="1">
        <f>IF(OR(RSA!$C$12&lt;&gt;"Ready",LEN(RSA!C51)=0),"",INT(J179/2))</f>
        <v>1</v>
      </c>
      <c r="K180" s="1">
        <f>IF(OR(RSA!$C$12&lt;&gt;"Ready",LEN(RSA!C51)=0),"",MOD(K179*K179,RSA!$C$16))</f>
        <v>139</v>
      </c>
      <c r="L180" s="1">
        <f>IF(OR(RSA!$C$12&lt;&gt;"Ready",LEN(RSA!C51)=0),"",MOD(J180,2))</f>
        <v>1</v>
      </c>
      <c r="M180" s="1">
        <f>IF(OR(RSA!$C$12&lt;&gt;"Ready",LEN(RSA!C51)=0),"",O179)</f>
        <v>181</v>
      </c>
      <c r="N180" s="1">
        <f>IF(OR(RSA!$C$12&lt;&gt;"Ready",LEN(RSA!C51)=0),"",IF(L180=1,K180,1))</f>
        <v>139</v>
      </c>
      <c r="O180" s="1">
        <f>IF(OR(RSA!$C$12&lt;&gt;"Ready",LEN(RSA!C51)=0),"",MOD(M180*N180,RSA!$C$16))</f>
        <v>108</v>
      </c>
    </row>
    <row r="181" spans="1:15" ht="21.95" customHeight="1">
      <c r="A181" s="1">
        <v>10</v>
      </c>
      <c r="B181" s="1">
        <f>IF(OR(RSA!$C$12&lt;&gt;"Ready",LEN(RSA!C51)=0),"",INT(B180/2))</f>
        <v>0</v>
      </c>
      <c r="C181" s="1">
        <f>IF(OR(RSA!$C$12&lt;&gt;"Ready",LEN(RSA!C51)=0),"",MOD(C180*C180,RSA!$C$16))</f>
        <v>16</v>
      </c>
      <c r="D181" s="1">
        <f>IF(OR(RSA!$C$12&lt;&gt;"Ready",LEN(RSA!C51)=0),"",MOD(B181,2))</f>
        <v>0</v>
      </c>
      <c r="E181" s="1">
        <f>IF(OR(RSA!$C$12&lt;&gt;"Ready",LEN(RSA!C51)=0),"",G180)</f>
        <v>212</v>
      </c>
      <c r="F181" s="1">
        <f>IF(OR(RSA!$C$12&lt;&gt;"Ready",LEN(RSA!C51)=0),"",IF(D181=1,C181,1))</f>
        <v>1</v>
      </c>
      <c r="G181" s="1">
        <f>IF(OR(RSA!$C$12&lt;&gt;"Ready",LEN(RSA!C51)=0),"",MOD(E181*F181,RSA!$C$16))</f>
        <v>212</v>
      </c>
      <c r="H181" s="1"/>
      <c r="I181" s="1">
        <v>10</v>
      </c>
      <c r="J181" s="1">
        <f>IF(OR(RSA!$C$12&lt;&gt;"Ready",LEN(RSA!C51)=0),"",INT(J180/2))</f>
        <v>0</v>
      </c>
      <c r="K181" s="1">
        <f>IF(OR(RSA!$C$12&lt;&gt;"Ready",LEN(RSA!C51)=0),"",MOD(K180*K180,RSA!$C$16))</f>
        <v>133</v>
      </c>
      <c r="L181" s="1">
        <f>IF(OR(RSA!$C$12&lt;&gt;"Ready",LEN(RSA!C51)=0),"",MOD(J181,2))</f>
        <v>0</v>
      </c>
      <c r="M181" s="1">
        <f>IF(OR(RSA!$C$12&lt;&gt;"Ready",LEN(RSA!C51)=0),"",O180)</f>
        <v>108</v>
      </c>
      <c r="N181" s="1">
        <f>IF(OR(RSA!$C$12&lt;&gt;"Ready",LEN(RSA!C51)=0),"",IF(L181=1,K181,1))</f>
        <v>1</v>
      </c>
      <c r="O181" s="1">
        <f>IF(OR(RSA!$C$12&lt;&gt;"Ready",LEN(RSA!C51)=0),"",MOD(M181*N181,RSA!$C$16))</f>
        <v>108</v>
      </c>
    </row>
    <row r="182" spans="1:15" ht="21.95" customHeight="1">
      <c r="A182" s="1">
        <v>11</v>
      </c>
      <c r="B182" s="1">
        <f>IF(OR(RSA!$C$12&lt;&gt;"Ready",LEN(RSA!C51)=0),"",INT(B181/2))</f>
        <v>0</v>
      </c>
      <c r="C182" s="1">
        <f>IF(OR(RSA!$C$12&lt;&gt;"Ready",LEN(RSA!C51)=0),"",MOD(C181*C181,RSA!$C$16))</f>
        <v>256</v>
      </c>
      <c r="D182" s="1">
        <f>IF(OR(RSA!$C$12&lt;&gt;"Ready",LEN(RSA!C51)=0),"",MOD(B182,2))</f>
        <v>0</v>
      </c>
      <c r="E182" s="1">
        <f>IF(OR(RSA!$C$12&lt;&gt;"Ready",LEN(RSA!C51)=0),"",G181)</f>
        <v>212</v>
      </c>
      <c r="F182" s="1">
        <f>IF(OR(RSA!$C$12&lt;&gt;"Ready",LEN(RSA!C51)=0),"",IF(D182=1,C182,1))</f>
        <v>1</v>
      </c>
      <c r="G182" s="1">
        <f>IF(OR(RSA!$C$12&lt;&gt;"Ready",LEN(RSA!C51)=0),"",MOD(E182*F182,RSA!$C$16))</f>
        <v>212</v>
      </c>
      <c r="H182" s="1"/>
      <c r="I182" s="1">
        <v>11</v>
      </c>
      <c r="J182" s="1">
        <f>IF(OR(RSA!$C$12&lt;&gt;"Ready",LEN(RSA!C51)=0),"",INT(J181/2))</f>
        <v>0</v>
      </c>
      <c r="K182" s="1">
        <f>IF(OR(RSA!$C$12&lt;&gt;"Ready",LEN(RSA!C51)=0),"",MOD(K181*K181,RSA!$C$16))</f>
        <v>100</v>
      </c>
      <c r="L182" s="1">
        <f>IF(OR(RSA!$C$12&lt;&gt;"Ready",LEN(RSA!C51)=0),"",MOD(J182,2))</f>
        <v>0</v>
      </c>
      <c r="M182" s="1">
        <f>IF(OR(RSA!$C$12&lt;&gt;"Ready",LEN(RSA!C51)=0),"",O181)</f>
        <v>108</v>
      </c>
      <c r="N182" s="1">
        <f>IF(OR(RSA!$C$12&lt;&gt;"Ready",LEN(RSA!C51)=0),"",IF(L182=1,K182,1))</f>
        <v>1</v>
      </c>
      <c r="O182" s="1">
        <f>IF(OR(RSA!$C$12&lt;&gt;"Ready",LEN(RSA!C51)=0),"",MOD(M182*N182,RSA!$C$16))</f>
        <v>108</v>
      </c>
    </row>
    <row r="183" spans="1:15" ht="21.95" customHeight="1">
      <c r="A183" s="1">
        <v>12</v>
      </c>
      <c r="B183" s="1">
        <f>IF(OR(RSA!$C$12&lt;&gt;"Ready",LEN(RSA!C51)=0),"",INT(B182/2))</f>
        <v>0</v>
      </c>
      <c r="C183" s="1">
        <f>IF(OR(RSA!$C$12&lt;&gt;"Ready",LEN(RSA!C51)=0),"",MOD(C182*C182,RSA!$C$16))</f>
        <v>510</v>
      </c>
      <c r="D183" s="1">
        <f>IF(OR(RSA!$C$12&lt;&gt;"Ready",LEN(RSA!C51)=0),"",MOD(B183,2))</f>
        <v>0</v>
      </c>
      <c r="E183" s="1">
        <f>IF(OR(RSA!$C$12&lt;&gt;"Ready",LEN(RSA!C51)=0),"",G182)</f>
        <v>212</v>
      </c>
      <c r="F183" s="1">
        <f>IF(OR(RSA!$C$12&lt;&gt;"Ready",LEN(RSA!C51)=0),"",IF(D183=1,C183,1))</f>
        <v>1</v>
      </c>
      <c r="G183" s="1">
        <f>IF(OR(RSA!$C$12&lt;&gt;"Ready",LEN(RSA!C51)=0),"",MOD(E183*F183,RSA!$C$16))</f>
        <v>212</v>
      </c>
      <c r="H183" s="1"/>
      <c r="I183" s="1">
        <v>12</v>
      </c>
      <c r="J183" s="1">
        <f>IF(OR(RSA!$C$12&lt;&gt;"Ready",LEN(RSA!C51)=0),"",INT(J182/2))</f>
        <v>0</v>
      </c>
      <c r="K183" s="1">
        <f>IF(OR(RSA!$C$12&lt;&gt;"Ready",LEN(RSA!C51)=0),"",MOD(K182*K182,RSA!$C$16))</f>
        <v>406</v>
      </c>
      <c r="L183" s="1">
        <f>IF(OR(RSA!$C$12&lt;&gt;"Ready",LEN(RSA!C51)=0),"",MOD(J183,2))</f>
        <v>0</v>
      </c>
      <c r="M183" s="1">
        <f>IF(OR(RSA!$C$12&lt;&gt;"Ready",LEN(RSA!C51)=0),"",O182)</f>
        <v>108</v>
      </c>
      <c r="N183" s="1">
        <f>IF(OR(RSA!$C$12&lt;&gt;"Ready",LEN(RSA!C51)=0),"",IF(L183=1,K183,1))</f>
        <v>1</v>
      </c>
      <c r="O183" s="1">
        <f>IF(OR(RSA!$C$12&lt;&gt;"Ready",LEN(RSA!C51)=0),"",MOD(M183*N183,RSA!$C$16))</f>
        <v>108</v>
      </c>
    </row>
    <row r="184" spans="1:15" ht="21.95" customHeight="1">
      <c r="A184" s="1">
        <v>13</v>
      </c>
      <c r="B184" s="1">
        <f>IF(OR(RSA!$C$12&lt;&gt;"Ready",LEN(RSA!C51)=0),"",INT(B183/2))</f>
        <v>0</v>
      </c>
      <c r="C184" s="1">
        <f>IF(OR(RSA!$C$12&lt;&gt;"Ready",LEN(RSA!C51)=0),"",MOD(C183*C183,RSA!$C$16))</f>
        <v>529</v>
      </c>
      <c r="D184" s="1">
        <f>IF(OR(RSA!$C$12&lt;&gt;"Ready",LEN(RSA!C51)=0),"",MOD(B184,2))</f>
        <v>0</v>
      </c>
      <c r="E184" s="1">
        <f>IF(OR(RSA!$C$12&lt;&gt;"Ready",LEN(RSA!C51)=0),"",G183)</f>
        <v>212</v>
      </c>
      <c r="F184" s="1">
        <f>IF(OR(RSA!$C$12&lt;&gt;"Ready",LEN(RSA!C51)=0),"",IF(D184=1,C184,1))</f>
        <v>1</v>
      </c>
      <c r="G184" s="1">
        <f>IF(OR(RSA!$C$12&lt;&gt;"Ready",LEN(RSA!C51)=0),"",MOD(E184*F184,RSA!$C$16))</f>
        <v>212</v>
      </c>
      <c r="H184" s="1"/>
      <c r="I184" s="1">
        <v>13</v>
      </c>
      <c r="J184" s="1">
        <f>IF(OR(RSA!$C$12&lt;&gt;"Ready",LEN(RSA!C51)=0),"",INT(J183/2))</f>
        <v>0</v>
      </c>
      <c r="K184" s="1">
        <f>IF(OR(RSA!$C$12&lt;&gt;"Ready",LEN(RSA!C51)=0),"",MOD(K183*K183,RSA!$C$16))</f>
        <v>139</v>
      </c>
      <c r="L184" s="1">
        <f>IF(OR(RSA!$C$12&lt;&gt;"Ready",LEN(RSA!C51)=0),"",MOD(J184,2))</f>
        <v>0</v>
      </c>
      <c r="M184" s="1">
        <f>IF(OR(RSA!$C$12&lt;&gt;"Ready",LEN(RSA!C51)=0),"",O183)</f>
        <v>108</v>
      </c>
      <c r="N184" s="1">
        <f>IF(OR(RSA!$C$12&lt;&gt;"Ready",LEN(RSA!C51)=0),"",IF(L184=1,K184,1))</f>
        <v>1</v>
      </c>
      <c r="O184" s="1">
        <f>IF(OR(RSA!$C$12&lt;&gt;"Ready",LEN(RSA!C51)=0),"",MOD(M184*N184,RSA!$C$16))</f>
        <v>108</v>
      </c>
    </row>
    <row r="185" spans="1:15" ht="21.95" customHeight="1">
      <c r="A185" s="1">
        <v>14</v>
      </c>
      <c r="B185" s="1">
        <f>IF(OR(RSA!$C$12&lt;&gt;"Ready",LEN(RSA!C51)=0),"",INT(B184/2))</f>
        <v>0</v>
      </c>
      <c r="C185" s="1">
        <f>IF(OR(RSA!$C$12&lt;&gt;"Ready",LEN(RSA!C51)=0),"",MOD(C184*C184,RSA!$C$16))</f>
        <v>16</v>
      </c>
      <c r="D185" s="1">
        <f>IF(OR(RSA!$C$12&lt;&gt;"Ready",LEN(RSA!C51)=0),"",MOD(B185,2))</f>
        <v>0</v>
      </c>
      <c r="E185" s="1">
        <f>IF(OR(RSA!$C$12&lt;&gt;"Ready",LEN(RSA!C51)=0),"",G184)</f>
        <v>212</v>
      </c>
      <c r="F185" s="1">
        <f>IF(OR(RSA!$C$12&lt;&gt;"Ready",LEN(RSA!C51)=0),"",IF(D185=1,C185,1))</f>
        <v>1</v>
      </c>
      <c r="G185" s="12">
        <f>IF(OR(RSA!$C$12&lt;&gt;"Ready",LEN(RSA!C51)=0),"",MOD(E185*F185,RSA!$C$16))</f>
        <v>212</v>
      </c>
      <c r="H185" s="1"/>
      <c r="I185" s="1">
        <v>14</v>
      </c>
      <c r="J185" s="1">
        <f>IF(OR(RSA!$C$12&lt;&gt;"Ready",LEN(RSA!C51)=0),"",INT(J184/2))</f>
        <v>0</v>
      </c>
      <c r="K185" s="1">
        <f>IF(OR(RSA!$C$12&lt;&gt;"Ready",LEN(RSA!C51)=0),"",MOD(K184*K184,RSA!$C$16))</f>
        <v>133</v>
      </c>
      <c r="L185" s="1">
        <f>IF(OR(RSA!$C$12&lt;&gt;"Ready",LEN(RSA!C51)=0),"",MOD(J185,2))</f>
        <v>0</v>
      </c>
      <c r="M185" s="1">
        <f>IF(OR(RSA!$C$12&lt;&gt;"Ready",LEN(RSA!C51)=0),"",O184)</f>
        <v>108</v>
      </c>
      <c r="N185" s="1">
        <f>IF(OR(RSA!$C$12&lt;&gt;"Ready",LEN(RSA!C51)=0),"",IF(L185=1,K185,1))</f>
        <v>1</v>
      </c>
      <c r="O185" s="12">
        <f>IF(OR(RSA!$C$12&lt;&gt;"Ready",LEN(RSA!C51)=0),"",MOD(M185*N185,RSA!$C$16))</f>
        <v>108</v>
      </c>
    </row>
    <row r="186" spans="1:15" ht="21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21.9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21.95" customHeight="1">
      <c r="A188" s="1" t="s">
        <v>102</v>
      </c>
      <c r="B188" s="1"/>
      <c r="C188" s="1"/>
      <c r="D188" s="1"/>
      <c r="E188" s="1"/>
      <c r="F188" s="1"/>
      <c r="G188" s="1"/>
      <c r="H188" s="1"/>
      <c r="I188" s="1" t="s">
        <v>103</v>
      </c>
      <c r="J188" s="1"/>
      <c r="K188" s="1"/>
      <c r="L188" s="1"/>
      <c r="M188" s="1"/>
      <c r="N188" s="1"/>
      <c r="O188" s="1"/>
    </row>
    <row r="189" spans="1:15" ht="32.1" customHeight="1">
      <c r="A189" s="4" t="s">
        <v>77</v>
      </c>
      <c r="B189" s="4" t="s">
        <v>78</v>
      </c>
      <c r="C189" s="4" t="s">
        <v>79</v>
      </c>
      <c r="D189" s="4" t="s">
        <v>80</v>
      </c>
      <c r="E189" s="4" t="s">
        <v>81</v>
      </c>
      <c r="F189" s="4" t="s">
        <v>82</v>
      </c>
      <c r="G189" s="4" t="s">
        <v>83</v>
      </c>
      <c r="H189" s="1"/>
      <c r="I189" s="4" t="s">
        <v>77</v>
      </c>
      <c r="J189" s="4" t="s">
        <v>78</v>
      </c>
      <c r="K189" s="4" t="s">
        <v>79</v>
      </c>
      <c r="L189" s="4" t="s">
        <v>80</v>
      </c>
      <c r="M189" s="4" t="s">
        <v>81</v>
      </c>
      <c r="N189" s="4" t="s">
        <v>82</v>
      </c>
      <c r="O189" s="4" t="s">
        <v>83</v>
      </c>
    </row>
    <row r="190" spans="1:15" ht="21.95" customHeight="1">
      <c r="A190" s="1">
        <v>1</v>
      </c>
      <c r="B190" s="1">
        <f>IF(OR(RSA!$C$12&lt;&gt;"Ready",LEN(RSA!C52)=0),"",RSA!$C$18)</f>
        <v>7</v>
      </c>
      <c r="C190" s="1">
        <f>IF(OR(RSA!$C$12&lt;&gt;"Ready",LEN(RSA!C52)=0),"",RSA!D52)</f>
        <v>100</v>
      </c>
      <c r="D190" s="1">
        <f>IF(OR(RSA!$C$12&lt;&gt;"Ready",LEN(RSA!C52)=0),"",MOD(B190,2))</f>
        <v>1</v>
      </c>
      <c r="E190" s="1">
        <f>IF(OR(RSA!$C$12&lt;&gt;"Ready",LEN(RSA!C52)=0),"",1)</f>
        <v>1</v>
      </c>
      <c r="F190" s="1">
        <f>IF(OR(RSA!$C$12&lt;&gt;"Ready",LEN(RSA!C52)=0),"",IF(D190=1,C190,1))</f>
        <v>100</v>
      </c>
      <c r="G190" s="1">
        <f>IF(OR(RSA!$C$12&lt;&gt;"Ready",LEN(RSA!C52)=0),"",MOD(E190*F190,RSA!$C$16))</f>
        <v>100</v>
      </c>
      <c r="H190" s="1"/>
      <c r="I190" s="1">
        <v>1</v>
      </c>
      <c r="J190" s="1">
        <f>IF(OR(RSA!$C$12&lt;&gt;"Ready",LEN(RSA!C52)=0),"",RSA!$C$19)</f>
        <v>343</v>
      </c>
      <c r="K190" s="1">
        <f>IF(OR(RSA!$C$12&lt;&gt;"Ready",LEN(RSA!C52)=0),"",RSA!F52)</f>
        <v>529</v>
      </c>
      <c r="L190" s="1">
        <f>IF(OR(RSA!$C$12&lt;&gt;"Ready",LEN(RSA!C52)=0),"",MOD(J190,2))</f>
        <v>1</v>
      </c>
      <c r="M190" s="1">
        <f>IF(OR(RSA!$C$12&lt;&gt;"Ready",LEN(RSA!C52)=0),"",1)</f>
        <v>1</v>
      </c>
      <c r="N190" s="1">
        <f>IF(OR(RSA!$C$12&lt;&gt;"Ready",LEN(RSA!C52)=0),"",IF(L190=1,K190,1))</f>
        <v>529</v>
      </c>
      <c r="O190" s="1">
        <f>IF(OR(RSA!$C$12&lt;&gt;"Ready",LEN(RSA!C52)=0),"",MOD(M190*N190,RSA!$C$16))</f>
        <v>529</v>
      </c>
    </row>
    <row r="191" spans="1:15" ht="21.95" customHeight="1">
      <c r="A191" s="1">
        <v>2</v>
      </c>
      <c r="B191" s="1">
        <f>IF(OR(RSA!$C$12&lt;&gt;"Ready",LEN(RSA!C52)=0),"",INT(B190/2))</f>
        <v>3</v>
      </c>
      <c r="C191" s="1">
        <f>IF(OR(RSA!$C$12&lt;&gt;"Ready",LEN(RSA!C52)=0),"",MOD(C190*C190,RSA!$C$16))</f>
        <v>406</v>
      </c>
      <c r="D191" s="1">
        <f>IF(OR(RSA!$C$12&lt;&gt;"Ready",LEN(RSA!C52)=0),"",MOD(B191,2))</f>
        <v>1</v>
      </c>
      <c r="E191" s="1">
        <f>IF(OR(RSA!$C$12&lt;&gt;"Ready",LEN(RSA!C52)=0),"",G190)</f>
        <v>100</v>
      </c>
      <c r="F191" s="1">
        <f>IF(OR(RSA!$C$12&lt;&gt;"Ready",LEN(RSA!C52)=0),"",IF(D191=1,C191,1))</f>
        <v>406</v>
      </c>
      <c r="G191" s="1">
        <f>IF(OR(RSA!$C$12&lt;&gt;"Ready",LEN(RSA!C52)=0),"",MOD(E191*F191,RSA!$C$16))</f>
        <v>92</v>
      </c>
      <c r="H191" s="1"/>
      <c r="I191" s="1">
        <v>2</v>
      </c>
      <c r="J191" s="1">
        <f>IF(OR(RSA!$C$12&lt;&gt;"Ready",LEN(RSA!C52)=0),"",INT(J190/2))</f>
        <v>171</v>
      </c>
      <c r="K191" s="1">
        <f>IF(OR(RSA!$C$12&lt;&gt;"Ready",LEN(RSA!C52)=0),"",MOD(K190*K190,RSA!$C$16))</f>
        <v>16</v>
      </c>
      <c r="L191" s="1">
        <f>IF(OR(RSA!$C$12&lt;&gt;"Ready",LEN(RSA!C52)=0),"",MOD(J191,2))</f>
        <v>1</v>
      </c>
      <c r="M191" s="1">
        <f>IF(OR(RSA!$C$12&lt;&gt;"Ready",LEN(RSA!C52)=0),"",O190)</f>
        <v>529</v>
      </c>
      <c r="N191" s="1">
        <f>IF(OR(RSA!$C$12&lt;&gt;"Ready",LEN(RSA!C52)=0),"",IF(L191=1,K191,1))</f>
        <v>16</v>
      </c>
      <c r="O191" s="1">
        <f>IF(OR(RSA!$C$12&lt;&gt;"Ready",LEN(RSA!C52)=0),"",MOD(M191*N191,RSA!$C$16))</f>
        <v>469</v>
      </c>
    </row>
    <row r="192" spans="1:15" ht="21.95" customHeight="1">
      <c r="A192" s="1">
        <v>3</v>
      </c>
      <c r="B192" s="1">
        <f>IF(OR(RSA!$C$12&lt;&gt;"Ready",LEN(RSA!C52)=0),"",INT(B191/2))</f>
        <v>1</v>
      </c>
      <c r="C192" s="1">
        <f>IF(OR(RSA!$C$12&lt;&gt;"Ready",LEN(RSA!C52)=0),"",MOD(C191*C191,RSA!$C$16))</f>
        <v>139</v>
      </c>
      <c r="D192" s="1">
        <f>IF(OR(RSA!$C$12&lt;&gt;"Ready",LEN(RSA!C52)=0),"",MOD(B192,2))</f>
        <v>1</v>
      </c>
      <c r="E192" s="1">
        <f>IF(OR(RSA!$C$12&lt;&gt;"Ready",LEN(RSA!C52)=0),"",G191)</f>
        <v>92</v>
      </c>
      <c r="F192" s="1">
        <f>IF(OR(RSA!$C$12&lt;&gt;"Ready",LEN(RSA!C52)=0),"",IF(D192=1,C192,1))</f>
        <v>139</v>
      </c>
      <c r="G192" s="1">
        <f>IF(OR(RSA!$C$12&lt;&gt;"Ready",LEN(RSA!C52)=0),"",MOD(E192*F192,RSA!$C$16))</f>
        <v>529</v>
      </c>
      <c r="H192" s="1"/>
      <c r="I192" s="1">
        <v>3</v>
      </c>
      <c r="J192" s="1">
        <f>IF(OR(RSA!$C$12&lt;&gt;"Ready",LEN(RSA!C52)=0),"",INT(J191/2))</f>
        <v>85</v>
      </c>
      <c r="K192" s="1">
        <f>IF(OR(RSA!$C$12&lt;&gt;"Ready",LEN(RSA!C52)=0),"",MOD(K191*K191,RSA!$C$16))</f>
        <v>256</v>
      </c>
      <c r="L192" s="1">
        <f>IF(OR(RSA!$C$12&lt;&gt;"Ready",LEN(RSA!C52)=0),"",MOD(J192,2))</f>
        <v>1</v>
      </c>
      <c r="M192" s="1">
        <f>IF(OR(RSA!$C$12&lt;&gt;"Ready",LEN(RSA!C52)=0),"",O191)</f>
        <v>469</v>
      </c>
      <c r="N192" s="1">
        <f>IF(OR(RSA!$C$12&lt;&gt;"Ready",LEN(RSA!C52)=0),"",IF(L192=1,K192,1))</f>
        <v>256</v>
      </c>
      <c r="O192" s="1">
        <f>IF(OR(RSA!$C$12&lt;&gt;"Ready",LEN(RSA!C52)=0),"",MOD(M192*N192,RSA!$C$16))</f>
        <v>139</v>
      </c>
    </row>
    <row r="193" spans="1:15" ht="21.95" customHeight="1">
      <c r="A193" s="1">
        <v>4</v>
      </c>
      <c r="B193" s="1">
        <f>IF(OR(RSA!$C$12&lt;&gt;"Ready",LEN(RSA!C52)=0),"",INT(B192/2))</f>
        <v>0</v>
      </c>
      <c r="C193" s="1">
        <f>IF(OR(RSA!$C$12&lt;&gt;"Ready",LEN(RSA!C52)=0),"",MOD(C192*C192,RSA!$C$16))</f>
        <v>133</v>
      </c>
      <c r="D193" s="1">
        <f>IF(OR(RSA!$C$12&lt;&gt;"Ready",LEN(RSA!C52)=0),"",MOD(B193,2))</f>
        <v>0</v>
      </c>
      <c r="E193" s="1">
        <f>IF(OR(RSA!$C$12&lt;&gt;"Ready",LEN(RSA!C52)=0),"",G192)</f>
        <v>529</v>
      </c>
      <c r="F193" s="1">
        <f>IF(OR(RSA!$C$12&lt;&gt;"Ready",LEN(RSA!C52)=0),"",IF(D193=1,C193,1))</f>
        <v>1</v>
      </c>
      <c r="G193" s="1">
        <f>IF(OR(RSA!$C$12&lt;&gt;"Ready",LEN(RSA!C52)=0),"",MOD(E193*F193,RSA!$C$16))</f>
        <v>529</v>
      </c>
      <c r="H193" s="1"/>
      <c r="I193" s="1">
        <v>4</v>
      </c>
      <c r="J193" s="1">
        <f>IF(OR(RSA!$C$12&lt;&gt;"Ready",LEN(RSA!C52)=0),"",INT(J192/2))</f>
        <v>42</v>
      </c>
      <c r="K193" s="1">
        <f>IF(OR(RSA!$C$12&lt;&gt;"Ready",LEN(RSA!C52)=0),"",MOD(K192*K192,RSA!$C$16))</f>
        <v>510</v>
      </c>
      <c r="L193" s="1">
        <f>IF(OR(RSA!$C$12&lt;&gt;"Ready",LEN(RSA!C52)=0),"",MOD(J193,2))</f>
        <v>0</v>
      </c>
      <c r="M193" s="1">
        <f>IF(OR(RSA!$C$12&lt;&gt;"Ready",LEN(RSA!C52)=0),"",O192)</f>
        <v>139</v>
      </c>
      <c r="N193" s="1">
        <f>IF(OR(RSA!$C$12&lt;&gt;"Ready",LEN(RSA!C52)=0),"",IF(L193=1,K193,1))</f>
        <v>1</v>
      </c>
      <c r="O193" s="1">
        <f>IF(OR(RSA!$C$12&lt;&gt;"Ready",LEN(RSA!C52)=0),"",MOD(M193*N193,RSA!$C$16))</f>
        <v>139</v>
      </c>
    </row>
    <row r="194" spans="1:15" ht="21.95" customHeight="1">
      <c r="A194" s="1">
        <v>5</v>
      </c>
      <c r="B194" s="1">
        <f>IF(OR(RSA!$C$12&lt;&gt;"Ready",LEN(RSA!C52)=0),"",INT(B193/2))</f>
        <v>0</v>
      </c>
      <c r="C194" s="1">
        <f>IF(OR(RSA!$C$12&lt;&gt;"Ready",LEN(RSA!C52)=0),"",MOD(C193*C193,RSA!$C$16))</f>
        <v>100</v>
      </c>
      <c r="D194" s="1">
        <f>IF(OR(RSA!$C$12&lt;&gt;"Ready",LEN(RSA!C52)=0),"",MOD(B194,2))</f>
        <v>0</v>
      </c>
      <c r="E194" s="1">
        <f>IF(OR(RSA!$C$12&lt;&gt;"Ready",LEN(RSA!C52)=0),"",G193)</f>
        <v>529</v>
      </c>
      <c r="F194" s="1">
        <f>IF(OR(RSA!$C$12&lt;&gt;"Ready",LEN(RSA!C52)=0),"",IF(D194=1,C194,1))</f>
        <v>1</v>
      </c>
      <c r="G194" s="1">
        <f>IF(OR(RSA!$C$12&lt;&gt;"Ready",LEN(RSA!C52)=0),"",MOD(E194*F194,RSA!$C$16))</f>
        <v>529</v>
      </c>
      <c r="H194" s="1"/>
      <c r="I194" s="1">
        <v>5</v>
      </c>
      <c r="J194" s="1">
        <f>IF(OR(RSA!$C$12&lt;&gt;"Ready",LEN(RSA!C52)=0),"",INT(J193/2))</f>
        <v>21</v>
      </c>
      <c r="K194" s="1">
        <f>IF(OR(RSA!$C$12&lt;&gt;"Ready",LEN(RSA!C52)=0),"",MOD(K193*K193,RSA!$C$16))</f>
        <v>529</v>
      </c>
      <c r="L194" s="1">
        <f>IF(OR(RSA!$C$12&lt;&gt;"Ready",LEN(RSA!C52)=0),"",MOD(J194,2))</f>
        <v>1</v>
      </c>
      <c r="M194" s="1">
        <f>IF(OR(RSA!$C$12&lt;&gt;"Ready",LEN(RSA!C52)=0),"",O193)</f>
        <v>139</v>
      </c>
      <c r="N194" s="1">
        <f>IF(OR(RSA!$C$12&lt;&gt;"Ready",LEN(RSA!C52)=0),"",IF(L194=1,K194,1))</f>
        <v>529</v>
      </c>
      <c r="O194" s="1">
        <f>IF(OR(RSA!$C$12&lt;&gt;"Ready",LEN(RSA!C52)=0),"",MOD(M194*N194,RSA!$C$16))</f>
        <v>510</v>
      </c>
    </row>
    <row r="195" spans="1:15" ht="21.95" customHeight="1">
      <c r="A195" s="1">
        <v>6</v>
      </c>
      <c r="B195" s="1">
        <f>IF(OR(RSA!$C$12&lt;&gt;"Ready",LEN(RSA!C52)=0),"",INT(B194/2))</f>
        <v>0</v>
      </c>
      <c r="C195" s="1">
        <f>IF(OR(RSA!$C$12&lt;&gt;"Ready",LEN(RSA!C52)=0),"",MOD(C194*C194,RSA!$C$16))</f>
        <v>406</v>
      </c>
      <c r="D195" s="1">
        <f>IF(OR(RSA!$C$12&lt;&gt;"Ready",LEN(RSA!C52)=0),"",MOD(B195,2))</f>
        <v>0</v>
      </c>
      <c r="E195" s="1">
        <f>IF(OR(RSA!$C$12&lt;&gt;"Ready",LEN(RSA!C52)=0),"",G194)</f>
        <v>529</v>
      </c>
      <c r="F195" s="1">
        <f>IF(OR(RSA!$C$12&lt;&gt;"Ready",LEN(RSA!C52)=0),"",IF(D195=1,C195,1))</f>
        <v>1</v>
      </c>
      <c r="G195" s="1">
        <f>IF(OR(RSA!$C$12&lt;&gt;"Ready",LEN(RSA!C52)=0),"",MOD(E195*F195,RSA!$C$16))</f>
        <v>529</v>
      </c>
      <c r="H195" s="1"/>
      <c r="I195" s="1">
        <v>6</v>
      </c>
      <c r="J195" s="1">
        <f>IF(OR(RSA!$C$12&lt;&gt;"Ready",LEN(RSA!C52)=0),"",INT(J194/2))</f>
        <v>10</v>
      </c>
      <c r="K195" s="1">
        <f>IF(OR(RSA!$C$12&lt;&gt;"Ready",LEN(RSA!C52)=0),"",MOD(K194*K194,RSA!$C$16))</f>
        <v>16</v>
      </c>
      <c r="L195" s="1">
        <f>IF(OR(RSA!$C$12&lt;&gt;"Ready",LEN(RSA!C52)=0),"",MOD(J195,2))</f>
        <v>0</v>
      </c>
      <c r="M195" s="1">
        <f>IF(OR(RSA!$C$12&lt;&gt;"Ready",LEN(RSA!C52)=0),"",O194)</f>
        <v>510</v>
      </c>
      <c r="N195" s="1">
        <f>IF(OR(RSA!$C$12&lt;&gt;"Ready",LEN(RSA!C52)=0),"",IF(L195=1,K195,1))</f>
        <v>1</v>
      </c>
      <c r="O195" s="1">
        <f>IF(OR(RSA!$C$12&lt;&gt;"Ready",LEN(RSA!C52)=0),"",MOD(M195*N195,RSA!$C$16))</f>
        <v>510</v>
      </c>
    </row>
    <row r="196" spans="1:15" ht="21.95" customHeight="1">
      <c r="A196" s="1">
        <v>7</v>
      </c>
      <c r="B196" s="1">
        <f>IF(OR(RSA!$C$12&lt;&gt;"Ready",LEN(RSA!C52)=0),"",INT(B195/2))</f>
        <v>0</v>
      </c>
      <c r="C196" s="1">
        <f>IF(OR(RSA!$C$12&lt;&gt;"Ready",LEN(RSA!C52)=0),"",MOD(C195*C195,RSA!$C$16))</f>
        <v>139</v>
      </c>
      <c r="D196" s="1">
        <f>IF(OR(RSA!$C$12&lt;&gt;"Ready",LEN(RSA!C52)=0),"",MOD(B196,2))</f>
        <v>0</v>
      </c>
      <c r="E196" s="1">
        <f>IF(OR(RSA!$C$12&lt;&gt;"Ready",LEN(RSA!C52)=0),"",G195)</f>
        <v>529</v>
      </c>
      <c r="F196" s="1">
        <f>IF(OR(RSA!$C$12&lt;&gt;"Ready",LEN(RSA!C52)=0),"",IF(D196=1,C196,1))</f>
        <v>1</v>
      </c>
      <c r="G196" s="1">
        <f>IF(OR(RSA!$C$12&lt;&gt;"Ready",LEN(RSA!C52)=0),"",MOD(E196*F196,RSA!$C$16))</f>
        <v>529</v>
      </c>
      <c r="H196" s="1"/>
      <c r="I196" s="1">
        <v>7</v>
      </c>
      <c r="J196" s="1">
        <f>IF(OR(RSA!$C$12&lt;&gt;"Ready",LEN(RSA!C52)=0),"",INT(J195/2))</f>
        <v>5</v>
      </c>
      <c r="K196" s="1">
        <f>IF(OR(RSA!$C$12&lt;&gt;"Ready",LEN(RSA!C52)=0),"",MOD(K195*K195,RSA!$C$16))</f>
        <v>256</v>
      </c>
      <c r="L196" s="1">
        <f>IF(OR(RSA!$C$12&lt;&gt;"Ready",LEN(RSA!C52)=0),"",MOD(J196,2))</f>
        <v>1</v>
      </c>
      <c r="M196" s="1">
        <f>IF(OR(RSA!$C$12&lt;&gt;"Ready",LEN(RSA!C52)=0),"",O195)</f>
        <v>510</v>
      </c>
      <c r="N196" s="1">
        <f>IF(OR(RSA!$C$12&lt;&gt;"Ready",LEN(RSA!C52)=0),"",IF(L196=1,K196,1))</f>
        <v>256</v>
      </c>
      <c r="O196" s="1">
        <f>IF(OR(RSA!$C$12&lt;&gt;"Ready",LEN(RSA!C52)=0),"",MOD(M196*N196,RSA!$C$16))</f>
        <v>508</v>
      </c>
    </row>
    <row r="197" spans="1:15" ht="21.95" customHeight="1">
      <c r="A197" s="1">
        <v>8</v>
      </c>
      <c r="B197" s="1">
        <f>IF(OR(RSA!$C$12&lt;&gt;"Ready",LEN(RSA!C52)=0),"",INT(B196/2))</f>
        <v>0</v>
      </c>
      <c r="C197" s="1">
        <f>IF(OR(RSA!$C$12&lt;&gt;"Ready",LEN(RSA!C52)=0),"",MOD(C196*C196,RSA!$C$16))</f>
        <v>133</v>
      </c>
      <c r="D197" s="1">
        <f>IF(OR(RSA!$C$12&lt;&gt;"Ready",LEN(RSA!C52)=0),"",MOD(B197,2))</f>
        <v>0</v>
      </c>
      <c r="E197" s="1">
        <f>IF(OR(RSA!$C$12&lt;&gt;"Ready",LEN(RSA!C52)=0),"",G196)</f>
        <v>529</v>
      </c>
      <c r="F197" s="1">
        <f>IF(OR(RSA!$C$12&lt;&gt;"Ready",LEN(RSA!C52)=0),"",IF(D197=1,C197,1))</f>
        <v>1</v>
      </c>
      <c r="G197" s="1">
        <f>IF(OR(RSA!$C$12&lt;&gt;"Ready",LEN(RSA!C52)=0),"",MOD(E197*F197,RSA!$C$16))</f>
        <v>529</v>
      </c>
      <c r="H197" s="1"/>
      <c r="I197" s="1">
        <v>8</v>
      </c>
      <c r="J197" s="1">
        <f>IF(OR(RSA!$C$12&lt;&gt;"Ready",LEN(RSA!C52)=0),"",INT(J196/2))</f>
        <v>2</v>
      </c>
      <c r="K197" s="1">
        <f>IF(OR(RSA!$C$12&lt;&gt;"Ready",LEN(RSA!C52)=0),"",MOD(K196*K196,RSA!$C$16))</f>
        <v>510</v>
      </c>
      <c r="L197" s="1">
        <f>IF(OR(RSA!$C$12&lt;&gt;"Ready",LEN(RSA!C52)=0),"",MOD(J197,2))</f>
        <v>0</v>
      </c>
      <c r="M197" s="1">
        <f>IF(OR(RSA!$C$12&lt;&gt;"Ready",LEN(RSA!C52)=0),"",O196)</f>
        <v>508</v>
      </c>
      <c r="N197" s="1">
        <f>IF(OR(RSA!$C$12&lt;&gt;"Ready",LEN(RSA!C52)=0),"",IF(L197=1,K197,1))</f>
        <v>1</v>
      </c>
      <c r="O197" s="1">
        <f>IF(OR(RSA!$C$12&lt;&gt;"Ready",LEN(RSA!C52)=0),"",MOD(M197*N197,RSA!$C$16))</f>
        <v>508</v>
      </c>
    </row>
    <row r="198" spans="1:15" ht="21.95" customHeight="1">
      <c r="A198" s="1">
        <v>9</v>
      </c>
      <c r="B198" s="1">
        <f>IF(OR(RSA!$C$12&lt;&gt;"Ready",LEN(RSA!C52)=0),"",INT(B197/2))</f>
        <v>0</v>
      </c>
      <c r="C198" s="1">
        <f>IF(OR(RSA!$C$12&lt;&gt;"Ready",LEN(RSA!C52)=0),"",MOD(C197*C197,RSA!$C$16))</f>
        <v>100</v>
      </c>
      <c r="D198" s="1">
        <f>IF(OR(RSA!$C$12&lt;&gt;"Ready",LEN(RSA!C52)=0),"",MOD(B198,2))</f>
        <v>0</v>
      </c>
      <c r="E198" s="1">
        <f>IF(OR(RSA!$C$12&lt;&gt;"Ready",LEN(RSA!C52)=0),"",G197)</f>
        <v>529</v>
      </c>
      <c r="F198" s="1">
        <f>IF(OR(RSA!$C$12&lt;&gt;"Ready",LEN(RSA!C52)=0),"",IF(D198=1,C198,1))</f>
        <v>1</v>
      </c>
      <c r="G198" s="1">
        <f>IF(OR(RSA!$C$12&lt;&gt;"Ready",LEN(RSA!C52)=0),"",MOD(E198*F198,RSA!$C$16))</f>
        <v>529</v>
      </c>
      <c r="H198" s="1"/>
      <c r="I198" s="1">
        <v>9</v>
      </c>
      <c r="J198" s="1">
        <f>IF(OR(RSA!$C$12&lt;&gt;"Ready",LEN(RSA!C52)=0),"",INT(J197/2))</f>
        <v>1</v>
      </c>
      <c r="K198" s="1">
        <f>IF(OR(RSA!$C$12&lt;&gt;"Ready",LEN(RSA!C52)=0),"",MOD(K197*K197,RSA!$C$16))</f>
        <v>529</v>
      </c>
      <c r="L198" s="1">
        <f>IF(OR(RSA!$C$12&lt;&gt;"Ready",LEN(RSA!C52)=0),"",MOD(J198,2))</f>
        <v>1</v>
      </c>
      <c r="M198" s="1">
        <f>IF(OR(RSA!$C$12&lt;&gt;"Ready",LEN(RSA!C52)=0),"",O197)</f>
        <v>508</v>
      </c>
      <c r="N198" s="1">
        <f>IF(OR(RSA!$C$12&lt;&gt;"Ready",LEN(RSA!C52)=0),"",IF(L198=1,K198,1))</f>
        <v>529</v>
      </c>
      <c r="O198" s="1">
        <f>IF(OR(RSA!$C$12&lt;&gt;"Ready",LEN(RSA!C52)=0),"",MOD(M198*N198,RSA!$C$16))</f>
        <v>100</v>
      </c>
    </row>
    <row r="199" spans="1:15" ht="21.95" customHeight="1">
      <c r="A199" s="1">
        <v>10</v>
      </c>
      <c r="B199" s="1">
        <f>IF(OR(RSA!$C$12&lt;&gt;"Ready",LEN(RSA!C52)=0),"",INT(B198/2))</f>
        <v>0</v>
      </c>
      <c r="C199" s="1">
        <f>IF(OR(RSA!$C$12&lt;&gt;"Ready",LEN(RSA!C52)=0),"",MOD(C198*C198,RSA!$C$16))</f>
        <v>406</v>
      </c>
      <c r="D199" s="1">
        <f>IF(OR(RSA!$C$12&lt;&gt;"Ready",LEN(RSA!C52)=0),"",MOD(B199,2))</f>
        <v>0</v>
      </c>
      <c r="E199" s="1">
        <f>IF(OR(RSA!$C$12&lt;&gt;"Ready",LEN(RSA!C52)=0),"",G198)</f>
        <v>529</v>
      </c>
      <c r="F199" s="1">
        <f>IF(OR(RSA!$C$12&lt;&gt;"Ready",LEN(RSA!C52)=0),"",IF(D199=1,C199,1))</f>
        <v>1</v>
      </c>
      <c r="G199" s="1">
        <f>IF(OR(RSA!$C$12&lt;&gt;"Ready",LEN(RSA!C52)=0),"",MOD(E199*F199,RSA!$C$16))</f>
        <v>529</v>
      </c>
      <c r="H199" s="1"/>
      <c r="I199" s="1">
        <v>10</v>
      </c>
      <c r="J199" s="1">
        <f>IF(OR(RSA!$C$12&lt;&gt;"Ready",LEN(RSA!C52)=0),"",INT(J198/2))</f>
        <v>0</v>
      </c>
      <c r="K199" s="1">
        <f>IF(OR(RSA!$C$12&lt;&gt;"Ready",LEN(RSA!C52)=0),"",MOD(K198*K198,RSA!$C$16))</f>
        <v>16</v>
      </c>
      <c r="L199" s="1">
        <f>IF(OR(RSA!$C$12&lt;&gt;"Ready",LEN(RSA!C52)=0),"",MOD(J199,2))</f>
        <v>0</v>
      </c>
      <c r="M199" s="1">
        <f>IF(OR(RSA!$C$12&lt;&gt;"Ready",LEN(RSA!C52)=0),"",O198)</f>
        <v>100</v>
      </c>
      <c r="N199" s="1">
        <f>IF(OR(RSA!$C$12&lt;&gt;"Ready",LEN(RSA!C52)=0),"",IF(L199=1,K199,1))</f>
        <v>1</v>
      </c>
      <c r="O199" s="1">
        <f>IF(OR(RSA!$C$12&lt;&gt;"Ready",LEN(RSA!C52)=0),"",MOD(M199*N199,RSA!$C$16))</f>
        <v>100</v>
      </c>
    </row>
    <row r="200" spans="1:15" ht="21.95" customHeight="1">
      <c r="A200" s="1">
        <v>11</v>
      </c>
      <c r="B200" s="1">
        <f>IF(OR(RSA!$C$12&lt;&gt;"Ready",LEN(RSA!C52)=0),"",INT(B199/2))</f>
        <v>0</v>
      </c>
      <c r="C200" s="1">
        <f>IF(OR(RSA!$C$12&lt;&gt;"Ready",LEN(RSA!C52)=0),"",MOD(C199*C199,RSA!$C$16))</f>
        <v>139</v>
      </c>
      <c r="D200" s="1">
        <f>IF(OR(RSA!$C$12&lt;&gt;"Ready",LEN(RSA!C52)=0),"",MOD(B200,2))</f>
        <v>0</v>
      </c>
      <c r="E200" s="1">
        <f>IF(OR(RSA!$C$12&lt;&gt;"Ready",LEN(RSA!C52)=0),"",G199)</f>
        <v>529</v>
      </c>
      <c r="F200" s="1">
        <f>IF(OR(RSA!$C$12&lt;&gt;"Ready",LEN(RSA!C52)=0),"",IF(D200=1,C200,1))</f>
        <v>1</v>
      </c>
      <c r="G200" s="1">
        <f>IF(OR(RSA!$C$12&lt;&gt;"Ready",LEN(RSA!C52)=0),"",MOD(E200*F200,RSA!$C$16))</f>
        <v>529</v>
      </c>
      <c r="H200" s="1"/>
      <c r="I200" s="1">
        <v>11</v>
      </c>
      <c r="J200" s="1">
        <f>IF(OR(RSA!$C$12&lt;&gt;"Ready",LEN(RSA!C52)=0),"",INT(J199/2))</f>
        <v>0</v>
      </c>
      <c r="K200" s="1">
        <f>IF(OR(RSA!$C$12&lt;&gt;"Ready",LEN(RSA!C52)=0),"",MOD(K199*K199,RSA!$C$16))</f>
        <v>256</v>
      </c>
      <c r="L200" s="1">
        <f>IF(OR(RSA!$C$12&lt;&gt;"Ready",LEN(RSA!C52)=0),"",MOD(J200,2))</f>
        <v>0</v>
      </c>
      <c r="M200" s="1">
        <f>IF(OR(RSA!$C$12&lt;&gt;"Ready",LEN(RSA!C52)=0),"",O199)</f>
        <v>100</v>
      </c>
      <c r="N200" s="1">
        <f>IF(OR(RSA!$C$12&lt;&gt;"Ready",LEN(RSA!C52)=0),"",IF(L200=1,K200,1))</f>
        <v>1</v>
      </c>
      <c r="O200" s="1">
        <f>IF(OR(RSA!$C$12&lt;&gt;"Ready",LEN(RSA!C52)=0),"",MOD(M200*N200,RSA!$C$16))</f>
        <v>100</v>
      </c>
    </row>
    <row r="201" spans="1:15" ht="21.95" customHeight="1">
      <c r="A201" s="1">
        <v>12</v>
      </c>
      <c r="B201" s="1">
        <f>IF(OR(RSA!$C$12&lt;&gt;"Ready",LEN(RSA!C52)=0),"",INT(B200/2))</f>
        <v>0</v>
      </c>
      <c r="C201" s="1">
        <f>IF(OR(RSA!$C$12&lt;&gt;"Ready",LEN(RSA!C52)=0),"",MOD(C200*C200,RSA!$C$16))</f>
        <v>133</v>
      </c>
      <c r="D201" s="1">
        <f>IF(OR(RSA!$C$12&lt;&gt;"Ready",LEN(RSA!C52)=0),"",MOD(B201,2))</f>
        <v>0</v>
      </c>
      <c r="E201" s="1">
        <f>IF(OR(RSA!$C$12&lt;&gt;"Ready",LEN(RSA!C52)=0),"",G200)</f>
        <v>529</v>
      </c>
      <c r="F201" s="1">
        <f>IF(OR(RSA!$C$12&lt;&gt;"Ready",LEN(RSA!C52)=0),"",IF(D201=1,C201,1))</f>
        <v>1</v>
      </c>
      <c r="G201" s="1">
        <f>IF(OR(RSA!$C$12&lt;&gt;"Ready",LEN(RSA!C52)=0),"",MOD(E201*F201,RSA!$C$16))</f>
        <v>529</v>
      </c>
      <c r="H201" s="1"/>
      <c r="I201" s="1">
        <v>12</v>
      </c>
      <c r="J201" s="1">
        <f>IF(OR(RSA!$C$12&lt;&gt;"Ready",LEN(RSA!C52)=0),"",INT(J200/2))</f>
        <v>0</v>
      </c>
      <c r="K201" s="1">
        <f>IF(OR(RSA!$C$12&lt;&gt;"Ready",LEN(RSA!C52)=0),"",MOD(K200*K200,RSA!$C$16))</f>
        <v>510</v>
      </c>
      <c r="L201" s="1">
        <f>IF(OR(RSA!$C$12&lt;&gt;"Ready",LEN(RSA!C52)=0),"",MOD(J201,2))</f>
        <v>0</v>
      </c>
      <c r="M201" s="1">
        <f>IF(OR(RSA!$C$12&lt;&gt;"Ready",LEN(RSA!C52)=0),"",O200)</f>
        <v>100</v>
      </c>
      <c r="N201" s="1">
        <f>IF(OR(RSA!$C$12&lt;&gt;"Ready",LEN(RSA!C52)=0),"",IF(L201=1,K201,1))</f>
        <v>1</v>
      </c>
      <c r="O201" s="1">
        <f>IF(OR(RSA!$C$12&lt;&gt;"Ready",LEN(RSA!C52)=0),"",MOD(M201*N201,RSA!$C$16))</f>
        <v>100</v>
      </c>
    </row>
    <row r="202" spans="1:15" ht="21.95" customHeight="1">
      <c r="A202" s="1">
        <v>13</v>
      </c>
      <c r="B202" s="1">
        <f>IF(OR(RSA!$C$12&lt;&gt;"Ready",LEN(RSA!C52)=0),"",INT(B201/2))</f>
        <v>0</v>
      </c>
      <c r="C202" s="1">
        <f>IF(OR(RSA!$C$12&lt;&gt;"Ready",LEN(RSA!C52)=0),"",MOD(C201*C201,RSA!$C$16))</f>
        <v>100</v>
      </c>
      <c r="D202" s="1">
        <f>IF(OR(RSA!$C$12&lt;&gt;"Ready",LEN(RSA!C52)=0),"",MOD(B202,2))</f>
        <v>0</v>
      </c>
      <c r="E202" s="1">
        <f>IF(OR(RSA!$C$12&lt;&gt;"Ready",LEN(RSA!C52)=0),"",G201)</f>
        <v>529</v>
      </c>
      <c r="F202" s="1">
        <f>IF(OR(RSA!$C$12&lt;&gt;"Ready",LEN(RSA!C52)=0),"",IF(D202=1,C202,1))</f>
        <v>1</v>
      </c>
      <c r="G202" s="1">
        <f>IF(OR(RSA!$C$12&lt;&gt;"Ready",LEN(RSA!C52)=0),"",MOD(E202*F202,RSA!$C$16))</f>
        <v>529</v>
      </c>
      <c r="H202" s="1"/>
      <c r="I202" s="1">
        <v>13</v>
      </c>
      <c r="J202" s="1">
        <f>IF(OR(RSA!$C$12&lt;&gt;"Ready",LEN(RSA!C52)=0),"",INT(J201/2))</f>
        <v>0</v>
      </c>
      <c r="K202" s="1">
        <f>IF(OR(RSA!$C$12&lt;&gt;"Ready",LEN(RSA!C52)=0),"",MOD(K201*K201,RSA!$C$16))</f>
        <v>529</v>
      </c>
      <c r="L202" s="1">
        <f>IF(OR(RSA!$C$12&lt;&gt;"Ready",LEN(RSA!C52)=0),"",MOD(J202,2))</f>
        <v>0</v>
      </c>
      <c r="M202" s="1">
        <f>IF(OR(RSA!$C$12&lt;&gt;"Ready",LEN(RSA!C52)=0),"",O201)</f>
        <v>100</v>
      </c>
      <c r="N202" s="1">
        <f>IF(OR(RSA!$C$12&lt;&gt;"Ready",LEN(RSA!C52)=0),"",IF(L202=1,K202,1))</f>
        <v>1</v>
      </c>
      <c r="O202" s="1">
        <f>IF(OR(RSA!$C$12&lt;&gt;"Ready",LEN(RSA!C52)=0),"",MOD(M202*N202,RSA!$C$16))</f>
        <v>100</v>
      </c>
    </row>
    <row r="203" spans="1:15" ht="21.95" customHeight="1">
      <c r="A203" s="1">
        <v>14</v>
      </c>
      <c r="B203" s="1">
        <f>IF(OR(RSA!$C$12&lt;&gt;"Ready",LEN(RSA!C52)=0),"",INT(B202/2))</f>
        <v>0</v>
      </c>
      <c r="C203" s="1">
        <f>IF(OR(RSA!$C$12&lt;&gt;"Ready",LEN(RSA!C52)=0),"",MOD(C202*C202,RSA!$C$16))</f>
        <v>406</v>
      </c>
      <c r="D203" s="1">
        <f>IF(OR(RSA!$C$12&lt;&gt;"Ready",LEN(RSA!C52)=0),"",MOD(B203,2))</f>
        <v>0</v>
      </c>
      <c r="E203" s="1">
        <f>IF(OR(RSA!$C$12&lt;&gt;"Ready",LEN(RSA!C52)=0),"",G202)</f>
        <v>529</v>
      </c>
      <c r="F203" s="1">
        <f>IF(OR(RSA!$C$12&lt;&gt;"Ready",LEN(RSA!C52)=0),"",IF(D203=1,C203,1))</f>
        <v>1</v>
      </c>
      <c r="G203" s="12">
        <f>IF(OR(RSA!$C$12&lt;&gt;"Ready",LEN(RSA!C52)=0),"",MOD(E203*F203,RSA!$C$16))</f>
        <v>529</v>
      </c>
      <c r="H203" s="1"/>
      <c r="I203" s="1">
        <v>14</v>
      </c>
      <c r="J203" s="1">
        <f>IF(OR(RSA!$C$12&lt;&gt;"Ready",LEN(RSA!C52)=0),"",INT(J202/2))</f>
        <v>0</v>
      </c>
      <c r="K203" s="1">
        <f>IF(OR(RSA!$C$12&lt;&gt;"Ready",LEN(RSA!C52)=0),"",MOD(K202*K202,RSA!$C$16))</f>
        <v>16</v>
      </c>
      <c r="L203" s="1">
        <f>IF(OR(RSA!$C$12&lt;&gt;"Ready",LEN(RSA!C52)=0),"",MOD(J203,2))</f>
        <v>0</v>
      </c>
      <c r="M203" s="1">
        <f>IF(OR(RSA!$C$12&lt;&gt;"Ready",LEN(RSA!C52)=0),"",O202)</f>
        <v>100</v>
      </c>
      <c r="N203" s="1">
        <f>IF(OR(RSA!$C$12&lt;&gt;"Ready",LEN(RSA!C52)=0),"",IF(L203=1,K203,1))</f>
        <v>1</v>
      </c>
      <c r="O203" s="12">
        <f>IF(OR(RSA!$C$12&lt;&gt;"Ready",LEN(RSA!C52)=0),"",MOD(M203*N203,RSA!$C$16))</f>
        <v>100</v>
      </c>
    </row>
    <row r="204" spans="1:15" ht="21.9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21.9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21.95" customHeight="1">
      <c r="A206" s="1" t="s">
        <v>104</v>
      </c>
      <c r="B206" s="1"/>
      <c r="C206" s="1"/>
      <c r="D206" s="1"/>
      <c r="E206" s="1"/>
      <c r="F206" s="1"/>
      <c r="G206" s="1"/>
      <c r="H206" s="1"/>
      <c r="I206" s="1" t="s">
        <v>105</v>
      </c>
      <c r="J206" s="1"/>
      <c r="K206" s="1"/>
      <c r="L206" s="1"/>
      <c r="M206" s="1"/>
      <c r="N206" s="1"/>
      <c r="O206" s="1"/>
    </row>
    <row r="207" spans="1:15" ht="32.1" customHeight="1">
      <c r="A207" s="4" t="s">
        <v>77</v>
      </c>
      <c r="B207" s="4" t="s">
        <v>78</v>
      </c>
      <c r="C207" s="4" t="s">
        <v>79</v>
      </c>
      <c r="D207" s="4" t="s">
        <v>80</v>
      </c>
      <c r="E207" s="4" t="s">
        <v>81</v>
      </c>
      <c r="F207" s="4" t="s">
        <v>82</v>
      </c>
      <c r="G207" s="4" t="s">
        <v>83</v>
      </c>
      <c r="H207" s="1"/>
      <c r="I207" s="4" t="s">
        <v>77</v>
      </c>
      <c r="J207" s="4" t="s">
        <v>78</v>
      </c>
      <c r="K207" s="4" t="s">
        <v>79</v>
      </c>
      <c r="L207" s="4" t="s">
        <v>80</v>
      </c>
      <c r="M207" s="4" t="s">
        <v>81</v>
      </c>
      <c r="N207" s="4" t="s">
        <v>82</v>
      </c>
      <c r="O207" s="4" t="s">
        <v>83</v>
      </c>
    </row>
    <row r="208" spans="1:15" ht="21.95" customHeight="1">
      <c r="A208" s="1">
        <v>1</v>
      </c>
      <c r="B208" s="1">
        <f>IF(OR(RSA!$C$12&lt;&gt;"Ready",LEN(RSA!C53)=0),"",RSA!$C$18)</f>
        <v>7</v>
      </c>
      <c r="C208" s="1">
        <f>IF(OR(RSA!$C$12&lt;&gt;"Ready",LEN(RSA!C53)=0),"",RSA!D53)</f>
        <v>33</v>
      </c>
      <c r="D208" s="1">
        <f>IF(OR(RSA!$C$12&lt;&gt;"Ready",LEN(RSA!C53)=0),"",MOD(B208,2))</f>
        <v>1</v>
      </c>
      <c r="E208" s="1">
        <f>IF(OR(RSA!$C$12&lt;&gt;"Ready",LEN(RSA!C53)=0),"",1)</f>
        <v>1</v>
      </c>
      <c r="F208" s="1">
        <f>IF(OR(RSA!$C$12&lt;&gt;"Ready",LEN(RSA!C53)=0),"",IF(D208=1,C208,1))</f>
        <v>33</v>
      </c>
      <c r="G208" s="1">
        <f>IF(OR(RSA!$C$12&lt;&gt;"Ready",LEN(RSA!C53)=0),"",MOD(E208*F208,RSA!$C$16))</f>
        <v>33</v>
      </c>
      <c r="H208" s="1"/>
      <c r="I208" s="1">
        <v>1</v>
      </c>
      <c r="J208" s="1">
        <f>IF(OR(RSA!$C$12&lt;&gt;"Ready",LEN(RSA!C53)=0),"",RSA!$C$19)</f>
        <v>343</v>
      </c>
      <c r="K208" s="1">
        <f>IF(OR(RSA!$C$12&lt;&gt;"Ready",LEN(RSA!C53)=0),"",RSA!F53)</f>
        <v>162</v>
      </c>
      <c r="L208" s="1">
        <f>IF(OR(RSA!$C$12&lt;&gt;"Ready",LEN(RSA!C53)=0),"",MOD(J208,2))</f>
        <v>1</v>
      </c>
      <c r="M208" s="1">
        <f>IF(OR(RSA!$C$12&lt;&gt;"Ready",LEN(RSA!C53)=0),"",1)</f>
        <v>1</v>
      </c>
      <c r="N208" s="1">
        <f>IF(OR(RSA!$C$12&lt;&gt;"Ready",LEN(RSA!C53)=0),"",IF(L208=1,K208,1))</f>
        <v>162</v>
      </c>
      <c r="O208" s="1">
        <f>IF(OR(RSA!$C$12&lt;&gt;"Ready",LEN(RSA!C53)=0),"",MOD(M208*N208,RSA!$C$16))</f>
        <v>162</v>
      </c>
    </row>
    <row r="209" spans="1:15" ht="21.95" customHeight="1">
      <c r="A209" s="1">
        <v>2</v>
      </c>
      <c r="B209" s="1">
        <f>IF(OR(RSA!$C$12&lt;&gt;"Ready",LEN(RSA!C53)=0),"",INT(B208/2))</f>
        <v>3</v>
      </c>
      <c r="C209" s="1">
        <f>IF(OR(RSA!$C$12&lt;&gt;"Ready",LEN(RSA!C53)=0),"",MOD(C208*C208,RSA!$C$16))</f>
        <v>23</v>
      </c>
      <c r="D209" s="1">
        <f>IF(OR(RSA!$C$12&lt;&gt;"Ready",LEN(RSA!C53)=0),"",MOD(B209,2))</f>
        <v>1</v>
      </c>
      <c r="E209" s="1">
        <f>IF(OR(RSA!$C$12&lt;&gt;"Ready",LEN(RSA!C53)=0),"",G208)</f>
        <v>33</v>
      </c>
      <c r="F209" s="1">
        <f>IF(OR(RSA!$C$12&lt;&gt;"Ready",LEN(RSA!C53)=0),"",IF(D209=1,C209,1))</f>
        <v>23</v>
      </c>
      <c r="G209" s="1">
        <f>IF(OR(RSA!$C$12&lt;&gt;"Ready",LEN(RSA!C53)=0),"",MOD(E209*F209,RSA!$C$16))</f>
        <v>226</v>
      </c>
      <c r="H209" s="1"/>
      <c r="I209" s="1">
        <v>2</v>
      </c>
      <c r="J209" s="1">
        <f>IF(OR(RSA!$C$12&lt;&gt;"Ready",LEN(RSA!C53)=0),"",INT(J208/2))</f>
        <v>171</v>
      </c>
      <c r="K209" s="1">
        <f>IF(OR(RSA!$C$12&lt;&gt;"Ready",LEN(RSA!C53)=0),"",MOD(K208*K208,RSA!$C$16))</f>
        <v>127</v>
      </c>
      <c r="L209" s="1">
        <f>IF(OR(RSA!$C$12&lt;&gt;"Ready",LEN(RSA!C53)=0),"",MOD(J209,2))</f>
        <v>1</v>
      </c>
      <c r="M209" s="1">
        <f>IF(OR(RSA!$C$12&lt;&gt;"Ready",LEN(RSA!C53)=0),"",O208)</f>
        <v>162</v>
      </c>
      <c r="N209" s="1">
        <f>IF(OR(RSA!$C$12&lt;&gt;"Ready",LEN(RSA!C53)=0),"",IF(L209=1,K209,1))</f>
        <v>127</v>
      </c>
      <c r="O209" s="1">
        <f>IF(OR(RSA!$C$12&lt;&gt;"Ready",LEN(RSA!C53)=0),"",MOD(M209*N209,RSA!$C$16))</f>
        <v>320</v>
      </c>
    </row>
    <row r="210" spans="1:15" ht="21.95" customHeight="1">
      <c r="A210" s="1">
        <v>3</v>
      </c>
      <c r="B210" s="1">
        <f>IF(OR(RSA!$C$12&lt;&gt;"Ready",LEN(RSA!C53)=0),"",INT(B209/2))</f>
        <v>1</v>
      </c>
      <c r="C210" s="1">
        <f>IF(OR(RSA!$C$12&lt;&gt;"Ready",LEN(RSA!C53)=0),"",MOD(C209*C209,RSA!$C$16))</f>
        <v>529</v>
      </c>
      <c r="D210" s="1">
        <f>IF(OR(RSA!$C$12&lt;&gt;"Ready",LEN(RSA!C53)=0),"",MOD(B210,2))</f>
        <v>1</v>
      </c>
      <c r="E210" s="1">
        <f>IF(OR(RSA!$C$12&lt;&gt;"Ready",LEN(RSA!C53)=0),"",G209)</f>
        <v>226</v>
      </c>
      <c r="F210" s="1">
        <f>IF(OR(RSA!$C$12&lt;&gt;"Ready",LEN(RSA!C53)=0),"",IF(D210=1,C210,1))</f>
        <v>529</v>
      </c>
      <c r="G210" s="1">
        <f>IF(OR(RSA!$C$12&lt;&gt;"Ready",LEN(RSA!C53)=0),"",MOD(E210*F210,RSA!$C$16))</f>
        <v>162</v>
      </c>
      <c r="H210" s="1"/>
      <c r="I210" s="1">
        <v>3</v>
      </c>
      <c r="J210" s="1">
        <f>IF(OR(RSA!$C$12&lt;&gt;"Ready",LEN(RSA!C53)=0),"",INT(J209/2))</f>
        <v>85</v>
      </c>
      <c r="K210" s="1">
        <f>IF(OR(RSA!$C$12&lt;&gt;"Ready",LEN(RSA!C53)=0),"",MOD(K209*K209,RSA!$C$16))</f>
        <v>139</v>
      </c>
      <c r="L210" s="1">
        <f>IF(OR(RSA!$C$12&lt;&gt;"Ready",LEN(RSA!C53)=0),"",MOD(J210,2))</f>
        <v>1</v>
      </c>
      <c r="M210" s="1">
        <f>IF(OR(RSA!$C$12&lt;&gt;"Ready",LEN(RSA!C53)=0),"",O209)</f>
        <v>320</v>
      </c>
      <c r="N210" s="1">
        <f>IF(OR(RSA!$C$12&lt;&gt;"Ready",LEN(RSA!C53)=0),"",IF(L210=1,K210,1))</f>
        <v>139</v>
      </c>
      <c r="O210" s="1">
        <f>IF(OR(RSA!$C$12&lt;&gt;"Ready",LEN(RSA!C53)=0),"",MOD(M210*N210,RSA!$C$16))</f>
        <v>241</v>
      </c>
    </row>
    <row r="211" spans="1:15" ht="21.95" customHeight="1">
      <c r="A211" s="1">
        <v>4</v>
      </c>
      <c r="B211" s="1">
        <f>IF(OR(RSA!$C$12&lt;&gt;"Ready",LEN(RSA!C53)=0),"",INT(B210/2))</f>
        <v>0</v>
      </c>
      <c r="C211" s="1">
        <f>IF(OR(RSA!$C$12&lt;&gt;"Ready",LEN(RSA!C53)=0),"",MOD(C210*C210,RSA!$C$16))</f>
        <v>16</v>
      </c>
      <c r="D211" s="1">
        <f>IF(OR(RSA!$C$12&lt;&gt;"Ready",LEN(RSA!C53)=0),"",MOD(B211,2))</f>
        <v>0</v>
      </c>
      <c r="E211" s="1">
        <f>IF(OR(RSA!$C$12&lt;&gt;"Ready",LEN(RSA!C53)=0),"",G210)</f>
        <v>162</v>
      </c>
      <c r="F211" s="1">
        <f>IF(OR(RSA!$C$12&lt;&gt;"Ready",LEN(RSA!C53)=0),"",IF(D211=1,C211,1))</f>
        <v>1</v>
      </c>
      <c r="G211" s="1">
        <f>IF(OR(RSA!$C$12&lt;&gt;"Ready",LEN(RSA!C53)=0),"",MOD(E211*F211,RSA!$C$16))</f>
        <v>162</v>
      </c>
      <c r="H211" s="1"/>
      <c r="I211" s="1">
        <v>4</v>
      </c>
      <c r="J211" s="1">
        <f>IF(OR(RSA!$C$12&lt;&gt;"Ready",LEN(RSA!C53)=0),"",INT(J210/2))</f>
        <v>42</v>
      </c>
      <c r="K211" s="1">
        <f>IF(OR(RSA!$C$12&lt;&gt;"Ready",LEN(RSA!C53)=0),"",MOD(K210*K210,RSA!$C$16))</f>
        <v>133</v>
      </c>
      <c r="L211" s="1">
        <f>IF(OR(RSA!$C$12&lt;&gt;"Ready",LEN(RSA!C53)=0),"",MOD(J211,2))</f>
        <v>0</v>
      </c>
      <c r="M211" s="1">
        <f>IF(OR(RSA!$C$12&lt;&gt;"Ready",LEN(RSA!C53)=0),"",O210)</f>
        <v>241</v>
      </c>
      <c r="N211" s="1">
        <f>IF(OR(RSA!$C$12&lt;&gt;"Ready",LEN(RSA!C53)=0),"",IF(L211=1,K211,1))</f>
        <v>1</v>
      </c>
      <c r="O211" s="1">
        <f>IF(OR(RSA!$C$12&lt;&gt;"Ready",LEN(RSA!C53)=0),"",MOD(M211*N211,RSA!$C$16))</f>
        <v>241</v>
      </c>
    </row>
    <row r="212" spans="1:15" ht="21.95" customHeight="1">
      <c r="A212" s="1">
        <v>5</v>
      </c>
      <c r="B212" s="1">
        <f>IF(OR(RSA!$C$12&lt;&gt;"Ready",LEN(RSA!C53)=0),"",INT(B211/2))</f>
        <v>0</v>
      </c>
      <c r="C212" s="1">
        <f>IF(OR(RSA!$C$12&lt;&gt;"Ready",LEN(RSA!C53)=0),"",MOD(C211*C211,RSA!$C$16))</f>
        <v>256</v>
      </c>
      <c r="D212" s="1">
        <f>IF(OR(RSA!$C$12&lt;&gt;"Ready",LEN(RSA!C53)=0),"",MOD(B212,2))</f>
        <v>0</v>
      </c>
      <c r="E212" s="1">
        <f>IF(OR(RSA!$C$12&lt;&gt;"Ready",LEN(RSA!C53)=0),"",G211)</f>
        <v>162</v>
      </c>
      <c r="F212" s="1">
        <f>IF(OR(RSA!$C$12&lt;&gt;"Ready",LEN(RSA!C53)=0),"",IF(D212=1,C212,1))</f>
        <v>1</v>
      </c>
      <c r="G212" s="1">
        <f>IF(OR(RSA!$C$12&lt;&gt;"Ready",LEN(RSA!C53)=0),"",MOD(E212*F212,RSA!$C$16))</f>
        <v>162</v>
      </c>
      <c r="H212" s="1"/>
      <c r="I212" s="1">
        <v>5</v>
      </c>
      <c r="J212" s="1">
        <f>IF(OR(RSA!$C$12&lt;&gt;"Ready",LEN(RSA!C53)=0),"",INT(J211/2))</f>
        <v>21</v>
      </c>
      <c r="K212" s="1">
        <f>IF(OR(RSA!$C$12&lt;&gt;"Ready",LEN(RSA!C53)=0),"",MOD(K211*K211,RSA!$C$16))</f>
        <v>100</v>
      </c>
      <c r="L212" s="1">
        <f>IF(OR(RSA!$C$12&lt;&gt;"Ready",LEN(RSA!C53)=0),"",MOD(J212,2))</f>
        <v>1</v>
      </c>
      <c r="M212" s="1">
        <f>IF(OR(RSA!$C$12&lt;&gt;"Ready",LEN(RSA!C53)=0),"",O211)</f>
        <v>241</v>
      </c>
      <c r="N212" s="1">
        <f>IF(OR(RSA!$C$12&lt;&gt;"Ready",LEN(RSA!C53)=0),"",IF(L212=1,K212,1))</f>
        <v>100</v>
      </c>
      <c r="O212" s="1">
        <f>IF(OR(RSA!$C$12&lt;&gt;"Ready",LEN(RSA!C53)=0),"",MOD(M212*N212,RSA!$C$16))</f>
        <v>115</v>
      </c>
    </row>
    <row r="213" spans="1:15" ht="21.95" customHeight="1">
      <c r="A213" s="1">
        <v>6</v>
      </c>
      <c r="B213" s="1">
        <f>IF(OR(RSA!$C$12&lt;&gt;"Ready",LEN(RSA!C53)=0),"",INT(B212/2))</f>
        <v>0</v>
      </c>
      <c r="C213" s="1">
        <f>IF(OR(RSA!$C$12&lt;&gt;"Ready",LEN(RSA!C53)=0),"",MOD(C212*C212,RSA!$C$16))</f>
        <v>510</v>
      </c>
      <c r="D213" s="1">
        <f>IF(OR(RSA!$C$12&lt;&gt;"Ready",LEN(RSA!C53)=0),"",MOD(B213,2))</f>
        <v>0</v>
      </c>
      <c r="E213" s="1">
        <f>IF(OR(RSA!$C$12&lt;&gt;"Ready",LEN(RSA!C53)=0),"",G212)</f>
        <v>162</v>
      </c>
      <c r="F213" s="1">
        <f>IF(OR(RSA!$C$12&lt;&gt;"Ready",LEN(RSA!C53)=0),"",IF(D213=1,C213,1))</f>
        <v>1</v>
      </c>
      <c r="G213" s="1">
        <f>IF(OR(RSA!$C$12&lt;&gt;"Ready",LEN(RSA!C53)=0),"",MOD(E213*F213,RSA!$C$16))</f>
        <v>162</v>
      </c>
      <c r="H213" s="1"/>
      <c r="I213" s="1">
        <v>6</v>
      </c>
      <c r="J213" s="1">
        <f>IF(OR(RSA!$C$12&lt;&gt;"Ready",LEN(RSA!C53)=0),"",INT(J212/2))</f>
        <v>10</v>
      </c>
      <c r="K213" s="1">
        <f>IF(OR(RSA!$C$12&lt;&gt;"Ready",LEN(RSA!C53)=0),"",MOD(K212*K212,RSA!$C$16))</f>
        <v>406</v>
      </c>
      <c r="L213" s="1">
        <f>IF(OR(RSA!$C$12&lt;&gt;"Ready",LEN(RSA!C53)=0),"",MOD(J213,2))</f>
        <v>0</v>
      </c>
      <c r="M213" s="1">
        <f>IF(OR(RSA!$C$12&lt;&gt;"Ready",LEN(RSA!C53)=0),"",O212)</f>
        <v>115</v>
      </c>
      <c r="N213" s="1">
        <f>IF(OR(RSA!$C$12&lt;&gt;"Ready",LEN(RSA!C53)=0),"",IF(L213=1,K213,1))</f>
        <v>1</v>
      </c>
      <c r="O213" s="1">
        <f>IF(OR(RSA!$C$12&lt;&gt;"Ready",LEN(RSA!C53)=0),"",MOD(M213*N213,RSA!$C$16))</f>
        <v>115</v>
      </c>
    </row>
    <row r="214" spans="1:15" ht="21.95" customHeight="1">
      <c r="A214" s="1">
        <v>7</v>
      </c>
      <c r="B214" s="1">
        <f>IF(OR(RSA!$C$12&lt;&gt;"Ready",LEN(RSA!C53)=0),"",INT(B213/2))</f>
        <v>0</v>
      </c>
      <c r="C214" s="1">
        <f>IF(OR(RSA!$C$12&lt;&gt;"Ready",LEN(RSA!C53)=0),"",MOD(C213*C213,RSA!$C$16))</f>
        <v>529</v>
      </c>
      <c r="D214" s="1">
        <f>IF(OR(RSA!$C$12&lt;&gt;"Ready",LEN(RSA!C53)=0),"",MOD(B214,2))</f>
        <v>0</v>
      </c>
      <c r="E214" s="1">
        <f>IF(OR(RSA!$C$12&lt;&gt;"Ready",LEN(RSA!C53)=0),"",G213)</f>
        <v>162</v>
      </c>
      <c r="F214" s="1">
        <f>IF(OR(RSA!$C$12&lt;&gt;"Ready",LEN(RSA!C53)=0),"",IF(D214=1,C214,1))</f>
        <v>1</v>
      </c>
      <c r="G214" s="1">
        <f>IF(OR(RSA!$C$12&lt;&gt;"Ready",LEN(RSA!C53)=0),"",MOD(E214*F214,RSA!$C$16))</f>
        <v>162</v>
      </c>
      <c r="H214" s="1"/>
      <c r="I214" s="1">
        <v>7</v>
      </c>
      <c r="J214" s="1">
        <f>IF(OR(RSA!$C$12&lt;&gt;"Ready",LEN(RSA!C53)=0),"",INT(J213/2))</f>
        <v>5</v>
      </c>
      <c r="K214" s="1">
        <f>IF(OR(RSA!$C$12&lt;&gt;"Ready",LEN(RSA!C53)=0),"",MOD(K213*K213,RSA!$C$16))</f>
        <v>139</v>
      </c>
      <c r="L214" s="1">
        <f>IF(OR(RSA!$C$12&lt;&gt;"Ready",LEN(RSA!C53)=0),"",MOD(J214,2))</f>
        <v>1</v>
      </c>
      <c r="M214" s="1">
        <f>IF(OR(RSA!$C$12&lt;&gt;"Ready",LEN(RSA!C53)=0),"",O213)</f>
        <v>115</v>
      </c>
      <c r="N214" s="1">
        <f>IF(OR(RSA!$C$12&lt;&gt;"Ready",LEN(RSA!C53)=0),"",IF(L214=1,K214,1))</f>
        <v>139</v>
      </c>
      <c r="O214" s="1">
        <f>IF(OR(RSA!$C$12&lt;&gt;"Ready",LEN(RSA!C53)=0),"",MOD(M214*N214,RSA!$C$16))</f>
        <v>528</v>
      </c>
    </row>
    <row r="215" spans="1:15" ht="21.95" customHeight="1">
      <c r="A215" s="1">
        <v>8</v>
      </c>
      <c r="B215" s="1">
        <f>IF(OR(RSA!$C$12&lt;&gt;"Ready",LEN(RSA!C53)=0),"",INT(B214/2))</f>
        <v>0</v>
      </c>
      <c r="C215" s="1">
        <f>IF(OR(RSA!$C$12&lt;&gt;"Ready",LEN(RSA!C53)=0),"",MOD(C214*C214,RSA!$C$16))</f>
        <v>16</v>
      </c>
      <c r="D215" s="1">
        <f>IF(OR(RSA!$C$12&lt;&gt;"Ready",LEN(RSA!C53)=0),"",MOD(B215,2))</f>
        <v>0</v>
      </c>
      <c r="E215" s="1">
        <f>IF(OR(RSA!$C$12&lt;&gt;"Ready",LEN(RSA!C53)=0),"",G214)</f>
        <v>162</v>
      </c>
      <c r="F215" s="1">
        <f>IF(OR(RSA!$C$12&lt;&gt;"Ready",LEN(RSA!C53)=0),"",IF(D215=1,C215,1))</f>
        <v>1</v>
      </c>
      <c r="G215" s="1">
        <f>IF(OR(RSA!$C$12&lt;&gt;"Ready",LEN(RSA!C53)=0),"",MOD(E215*F215,RSA!$C$16))</f>
        <v>162</v>
      </c>
      <c r="H215" s="1"/>
      <c r="I215" s="1">
        <v>8</v>
      </c>
      <c r="J215" s="1">
        <f>IF(OR(RSA!$C$12&lt;&gt;"Ready",LEN(RSA!C53)=0),"",INT(J214/2))</f>
        <v>2</v>
      </c>
      <c r="K215" s="1">
        <f>IF(OR(RSA!$C$12&lt;&gt;"Ready",LEN(RSA!C53)=0),"",MOD(K214*K214,RSA!$C$16))</f>
        <v>133</v>
      </c>
      <c r="L215" s="1">
        <f>IF(OR(RSA!$C$12&lt;&gt;"Ready",LEN(RSA!C53)=0),"",MOD(J215,2))</f>
        <v>0</v>
      </c>
      <c r="M215" s="1">
        <f>IF(OR(RSA!$C$12&lt;&gt;"Ready",LEN(RSA!C53)=0),"",O214)</f>
        <v>528</v>
      </c>
      <c r="N215" s="1">
        <f>IF(OR(RSA!$C$12&lt;&gt;"Ready",LEN(RSA!C53)=0),"",IF(L215=1,K215,1))</f>
        <v>1</v>
      </c>
      <c r="O215" s="1">
        <f>IF(OR(RSA!$C$12&lt;&gt;"Ready",LEN(RSA!C53)=0),"",MOD(M215*N215,RSA!$C$16))</f>
        <v>528</v>
      </c>
    </row>
    <row r="216" spans="1:15" ht="21.95" customHeight="1">
      <c r="A216" s="1">
        <v>9</v>
      </c>
      <c r="B216" s="1">
        <f>IF(OR(RSA!$C$12&lt;&gt;"Ready",LEN(RSA!C53)=0),"",INT(B215/2))</f>
        <v>0</v>
      </c>
      <c r="C216" s="1">
        <f>IF(OR(RSA!$C$12&lt;&gt;"Ready",LEN(RSA!C53)=0),"",MOD(C215*C215,RSA!$C$16))</f>
        <v>256</v>
      </c>
      <c r="D216" s="1">
        <f>IF(OR(RSA!$C$12&lt;&gt;"Ready",LEN(RSA!C53)=0),"",MOD(B216,2))</f>
        <v>0</v>
      </c>
      <c r="E216" s="1">
        <f>IF(OR(RSA!$C$12&lt;&gt;"Ready",LEN(RSA!C53)=0),"",G215)</f>
        <v>162</v>
      </c>
      <c r="F216" s="1">
        <f>IF(OR(RSA!$C$12&lt;&gt;"Ready",LEN(RSA!C53)=0),"",IF(D216=1,C216,1))</f>
        <v>1</v>
      </c>
      <c r="G216" s="1">
        <f>IF(OR(RSA!$C$12&lt;&gt;"Ready",LEN(RSA!C53)=0),"",MOD(E216*F216,RSA!$C$16))</f>
        <v>162</v>
      </c>
      <c r="H216" s="1"/>
      <c r="I216" s="1">
        <v>9</v>
      </c>
      <c r="J216" s="1">
        <f>IF(OR(RSA!$C$12&lt;&gt;"Ready",LEN(RSA!C53)=0),"",INT(J215/2))</f>
        <v>1</v>
      </c>
      <c r="K216" s="1">
        <f>IF(OR(RSA!$C$12&lt;&gt;"Ready",LEN(RSA!C53)=0),"",MOD(K215*K215,RSA!$C$16))</f>
        <v>100</v>
      </c>
      <c r="L216" s="1">
        <f>IF(OR(RSA!$C$12&lt;&gt;"Ready",LEN(RSA!C53)=0),"",MOD(J216,2))</f>
        <v>1</v>
      </c>
      <c r="M216" s="1">
        <f>IF(OR(RSA!$C$12&lt;&gt;"Ready",LEN(RSA!C53)=0),"",O215)</f>
        <v>528</v>
      </c>
      <c r="N216" s="1">
        <f>IF(OR(RSA!$C$12&lt;&gt;"Ready",LEN(RSA!C53)=0),"",IF(L216=1,K216,1))</f>
        <v>100</v>
      </c>
      <c r="O216" s="1">
        <f>IF(OR(RSA!$C$12&lt;&gt;"Ready",LEN(RSA!C53)=0),"",MOD(M216*N216,RSA!$C$16))</f>
        <v>33</v>
      </c>
    </row>
    <row r="217" spans="1:15" ht="21.95" customHeight="1">
      <c r="A217" s="1">
        <v>10</v>
      </c>
      <c r="B217" s="1">
        <f>IF(OR(RSA!$C$12&lt;&gt;"Ready",LEN(RSA!C53)=0),"",INT(B216/2))</f>
        <v>0</v>
      </c>
      <c r="C217" s="1">
        <f>IF(OR(RSA!$C$12&lt;&gt;"Ready",LEN(RSA!C53)=0),"",MOD(C216*C216,RSA!$C$16))</f>
        <v>510</v>
      </c>
      <c r="D217" s="1">
        <f>IF(OR(RSA!$C$12&lt;&gt;"Ready",LEN(RSA!C53)=0),"",MOD(B217,2))</f>
        <v>0</v>
      </c>
      <c r="E217" s="1">
        <f>IF(OR(RSA!$C$12&lt;&gt;"Ready",LEN(RSA!C53)=0),"",G216)</f>
        <v>162</v>
      </c>
      <c r="F217" s="1">
        <f>IF(OR(RSA!$C$12&lt;&gt;"Ready",LEN(RSA!C53)=0),"",IF(D217=1,C217,1))</f>
        <v>1</v>
      </c>
      <c r="G217" s="1">
        <f>IF(OR(RSA!$C$12&lt;&gt;"Ready",LEN(RSA!C53)=0),"",MOD(E217*F217,RSA!$C$16))</f>
        <v>162</v>
      </c>
      <c r="H217" s="1"/>
      <c r="I217" s="1">
        <v>10</v>
      </c>
      <c r="J217" s="1">
        <f>IF(OR(RSA!$C$12&lt;&gt;"Ready",LEN(RSA!C53)=0),"",INT(J216/2))</f>
        <v>0</v>
      </c>
      <c r="K217" s="1">
        <f>IF(OR(RSA!$C$12&lt;&gt;"Ready",LEN(RSA!C53)=0),"",MOD(K216*K216,RSA!$C$16))</f>
        <v>406</v>
      </c>
      <c r="L217" s="1">
        <f>IF(OR(RSA!$C$12&lt;&gt;"Ready",LEN(RSA!C53)=0),"",MOD(J217,2))</f>
        <v>0</v>
      </c>
      <c r="M217" s="1">
        <f>IF(OR(RSA!$C$12&lt;&gt;"Ready",LEN(RSA!C53)=0),"",O216)</f>
        <v>33</v>
      </c>
      <c r="N217" s="1">
        <f>IF(OR(RSA!$C$12&lt;&gt;"Ready",LEN(RSA!C53)=0),"",IF(L217=1,K217,1))</f>
        <v>1</v>
      </c>
      <c r="O217" s="1">
        <f>IF(OR(RSA!$C$12&lt;&gt;"Ready",LEN(RSA!C53)=0),"",MOD(M217*N217,RSA!$C$16))</f>
        <v>33</v>
      </c>
    </row>
    <row r="218" spans="1:15" ht="21.95" customHeight="1">
      <c r="A218" s="1">
        <v>11</v>
      </c>
      <c r="B218" s="1">
        <f>IF(OR(RSA!$C$12&lt;&gt;"Ready",LEN(RSA!C53)=0),"",INT(B217/2))</f>
        <v>0</v>
      </c>
      <c r="C218" s="1">
        <f>IF(OR(RSA!$C$12&lt;&gt;"Ready",LEN(RSA!C53)=0),"",MOD(C217*C217,RSA!$C$16))</f>
        <v>529</v>
      </c>
      <c r="D218" s="1">
        <f>IF(OR(RSA!$C$12&lt;&gt;"Ready",LEN(RSA!C53)=0),"",MOD(B218,2))</f>
        <v>0</v>
      </c>
      <c r="E218" s="1">
        <f>IF(OR(RSA!$C$12&lt;&gt;"Ready",LEN(RSA!C53)=0),"",G217)</f>
        <v>162</v>
      </c>
      <c r="F218" s="1">
        <f>IF(OR(RSA!$C$12&lt;&gt;"Ready",LEN(RSA!C53)=0),"",IF(D218=1,C218,1))</f>
        <v>1</v>
      </c>
      <c r="G218" s="1">
        <f>IF(OR(RSA!$C$12&lt;&gt;"Ready",LEN(RSA!C53)=0),"",MOD(E218*F218,RSA!$C$16))</f>
        <v>162</v>
      </c>
      <c r="H218" s="1"/>
      <c r="I218" s="1">
        <v>11</v>
      </c>
      <c r="J218" s="1">
        <f>IF(OR(RSA!$C$12&lt;&gt;"Ready",LEN(RSA!C53)=0),"",INT(J217/2))</f>
        <v>0</v>
      </c>
      <c r="K218" s="1">
        <f>IF(OR(RSA!$C$12&lt;&gt;"Ready",LEN(RSA!C53)=0),"",MOD(K217*K217,RSA!$C$16))</f>
        <v>139</v>
      </c>
      <c r="L218" s="1">
        <f>IF(OR(RSA!$C$12&lt;&gt;"Ready",LEN(RSA!C53)=0),"",MOD(J218,2))</f>
        <v>0</v>
      </c>
      <c r="M218" s="1">
        <f>IF(OR(RSA!$C$12&lt;&gt;"Ready",LEN(RSA!C53)=0),"",O217)</f>
        <v>33</v>
      </c>
      <c r="N218" s="1">
        <f>IF(OR(RSA!$C$12&lt;&gt;"Ready",LEN(RSA!C53)=0),"",IF(L218=1,K218,1))</f>
        <v>1</v>
      </c>
      <c r="O218" s="1">
        <f>IF(OR(RSA!$C$12&lt;&gt;"Ready",LEN(RSA!C53)=0),"",MOD(M218*N218,RSA!$C$16))</f>
        <v>33</v>
      </c>
    </row>
    <row r="219" spans="1:15" ht="21.95" customHeight="1">
      <c r="A219" s="1">
        <v>12</v>
      </c>
      <c r="B219" s="1">
        <f>IF(OR(RSA!$C$12&lt;&gt;"Ready",LEN(RSA!C53)=0),"",INT(B218/2))</f>
        <v>0</v>
      </c>
      <c r="C219" s="1">
        <f>IF(OR(RSA!$C$12&lt;&gt;"Ready",LEN(RSA!C53)=0),"",MOD(C218*C218,RSA!$C$16))</f>
        <v>16</v>
      </c>
      <c r="D219" s="1">
        <f>IF(OR(RSA!$C$12&lt;&gt;"Ready",LEN(RSA!C53)=0),"",MOD(B219,2))</f>
        <v>0</v>
      </c>
      <c r="E219" s="1">
        <f>IF(OR(RSA!$C$12&lt;&gt;"Ready",LEN(RSA!C53)=0),"",G218)</f>
        <v>162</v>
      </c>
      <c r="F219" s="1">
        <f>IF(OR(RSA!$C$12&lt;&gt;"Ready",LEN(RSA!C53)=0),"",IF(D219=1,C219,1))</f>
        <v>1</v>
      </c>
      <c r="G219" s="1">
        <f>IF(OR(RSA!$C$12&lt;&gt;"Ready",LEN(RSA!C53)=0),"",MOD(E219*F219,RSA!$C$16))</f>
        <v>162</v>
      </c>
      <c r="H219" s="1"/>
      <c r="I219" s="1">
        <v>12</v>
      </c>
      <c r="J219" s="1">
        <f>IF(OR(RSA!$C$12&lt;&gt;"Ready",LEN(RSA!C53)=0),"",INT(J218/2))</f>
        <v>0</v>
      </c>
      <c r="K219" s="1">
        <f>IF(OR(RSA!$C$12&lt;&gt;"Ready",LEN(RSA!C53)=0),"",MOD(K218*K218,RSA!$C$16))</f>
        <v>133</v>
      </c>
      <c r="L219" s="1">
        <f>IF(OR(RSA!$C$12&lt;&gt;"Ready",LEN(RSA!C53)=0),"",MOD(J219,2))</f>
        <v>0</v>
      </c>
      <c r="M219" s="1">
        <f>IF(OR(RSA!$C$12&lt;&gt;"Ready",LEN(RSA!C53)=0),"",O218)</f>
        <v>33</v>
      </c>
      <c r="N219" s="1">
        <f>IF(OR(RSA!$C$12&lt;&gt;"Ready",LEN(RSA!C53)=0),"",IF(L219=1,K219,1))</f>
        <v>1</v>
      </c>
      <c r="O219" s="1">
        <f>IF(OR(RSA!$C$12&lt;&gt;"Ready",LEN(RSA!C53)=0),"",MOD(M219*N219,RSA!$C$16))</f>
        <v>33</v>
      </c>
    </row>
    <row r="220" spans="1:15" ht="21.95" customHeight="1">
      <c r="A220" s="1">
        <v>13</v>
      </c>
      <c r="B220" s="1">
        <f>IF(OR(RSA!$C$12&lt;&gt;"Ready",LEN(RSA!C53)=0),"",INT(B219/2))</f>
        <v>0</v>
      </c>
      <c r="C220" s="1">
        <f>IF(OR(RSA!$C$12&lt;&gt;"Ready",LEN(RSA!C53)=0),"",MOD(C219*C219,RSA!$C$16))</f>
        <v>256</v>
      </c>
      <c r="D220" s="1">
        <f>IF(OR(RSA!$C$12&lt;&gt;"Ready",LEN(RSA!C53)=0),"",MOD(B220,2))</f>
        <v>0</v>
      </c>
      <c r="E220" s="1">
        <f>IF(OR(RSA!$C$12&lt;&gt;"Ready",LEN(RSA!C53)=0),"",G219)</f>
        <v>162</v>
      </c>
      <c r="F220" s="1">
        <f>IF(OR(RSA!$C$12&lt;&gt;"Ready",LEN(RSA!C53)=0),"",IF(D220=1,C220,1))</f>
        <v>1</v>
      </c>
      <c r="G220" s="1">
        <f>IF(OR(RSA!$C$12&lt;&gt;"Ready",LEN(RSA!C53)=0),"",MOD(E220*F220,RSA!$C$16))</f>
        <v>162</v>
      </c>
      <c r="H220" s="1"/>
      <c r="I220" s="1">
        <v>13</v>
      </c>
      <c r="J220" s="1">
        <f>IF(OR(RSA!$C$12&lt;&gt;"Ready",LEN(RSA!C53)=0),"",INT(J219/2))</f>
        <v>0</v>
      </c>
      <c r="K220" s="1">
        <f>IF(OR(RSA!$C$12&lt;&gt;"Ready",LEN(RSA!C53)=0),"",MOD(K219*K219,RSA!$C$16))</f>
        <v>100</v>
      </c>
      <c r="L220" s="1">
        <f>IF(OR(RSA!$C$12&lt;&gt;"Ready",LEN(RSA!C53)=0),"",MOD(J220,2))</f>
        <v>0</v>
      </c>
      <c r="M220" s="1">
        <f>IF(OR(RSA!$C$12&lt;&gt;"Ready",LEN(RSA!C53)=0),"",O219)</f>
        <v>33</v>
      </c>
      <c r="N220" s="1">
        <f>IF(OR(RSA!$C$12&lt;&gt;"Ready",LEN(RSA!C53)=0),"",IF(L220=1,K220,1))</f>
        <v>1</v>
      </c>
      <c r="O220" s="1">
        <f>IF(OR(RSA!$C$12&lt;&gt;"Ready",LEN(RSA!C53)=0),"",MOD(M220*N220,RSA!$C$16))</f>
        <v>33</v>
      </c>
    </row>
    <row r="221" spans="1:15" ht="21.95" customHeight="1">
      <c r="A221" s="1">
        <v>14</v>
      </c>
      <c r="B221" s="1">
        <f>IF(OR(RSA!$C$12&lt;&gt;"Ready",LEN(RSA!C53)=0),"",INT(B220/2))</f>
        <v>0</v>
      </c>
      <c r="C221" s="1">
        <f>IF(OR(RSA!$C$12&lt;&gt;"Ready",LEN(RSA!C53)=0),"",MOD(C220*C220,RSA!$C$16))</f>
        <v>510</v>
      </c>
      <c r="D221" s="1">
        <f>IF(OR(RSA!$C$12&lt;&gt;"Ready",LEN(RSA!C53)=0),"",MOD(B221,2))</f>
        <v>0</v>
      </c>
      <c r="E221" s="1">
        <f>IF(OR(RSA!$C$12&lt;&gt;"Ready",LEN(RSA!C53)=0),"",G220)</f>
        <v>162</v>
      </c>
      <c r="F221" s="1">
        <f>IF(OR(RSA!$C$12&lt;&gt;"Ready",LEN(RSA!C53)=0),"",IF(D221=1,C221,1))</f>
        <v>1</v>
      </c>
      <c r="G221" s="12">
        <f>IF(OR(RSA!$C$12&lt;&gt;"Ready",LEN(RSA!C53)=0),"",MOD(E221*F221,RSA!$C$16))</f>
        <v>162</v>
      </c>
      <c r="H221" s="1"/>
      <c r="I221" s="1">
        <v>14</v>
      </c>
      <c r="J221" s="1">
        <f>IF(OR(RSA!$C$12&lt;&gt;"Ready",LEN(RSA!C53)=0),"",INT(J220/2))</f>
        <v>0</v>
      </c>
      <c r="K221" s="1">
        <f>IF(OR(RSA!$C$12&lt;&gt;"Ready",LEN(RSA!C53)=0),"",MOD(K220*K220,RSA!$C$16))</f>
        <v>406</v>
      </c>
      <c r="L221" s="1">
        <f>IF(OR(RSA!$C$12&lt;&gt;"Ready",LEN(RSA!C53)=0),"",MOD(J221,2))</f>
        <v>0</v>
      </c>
      <c r="M221" s="1">
        <f>IF(OR(RSA!$C$12&lt;&gt;"Ready",LEN(RSA!C53)=0),"",O220)</f>
        <v>33</v>
      </c>
      <c r="N221" s="1">
        <f>IF(OR(RSA!$C$12&lt;&gt;"Ready",LEN(RSA!C53)=0),"",IF(L221=1,K221,1))</f>
        <v>1</v>
      </c>
      <c r="O221" s="12">
        <f>IF(OR(RSA!$C$12&lt;&gt;"Ready",LEN(RSA!C53)=0),"",MOD(M221*N221,RSA!$C$16))</f>
        <v>33</v>
      </c>
    </row>
    <row r="222" spans="1:15" ht="21.9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21.9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21.95" customHeight="1">
      <c r="A224" s="1" t="s">
        <v>106</v>
      </c>
      <c r="B224" s="1"/>
      <c r="C224" s="1"/>
      <c r="D224" s="1"/>
      <c r="E224" s="1"/>
      <c r="F224" s="1"/>
      <c r="G224" s="1"/>
      <c r="H224" s="1"/>
      <c r="I224" s="1" t="s">
        <v>107</v>
      </c>
      <c r="J224" s="1"/>
      <c r="K224" s="1"/>
      <c r="L224" s="1"/>
      <c r="M224" s="1"/>
      <c r="N224" s="1"/>
      <c r="O224" s="1"/>
    </row>
    <row r="225" spans="1:15" ht="32.1" customHeight="1">
      <c r="A225" s="4" t="s">
        <v>77</v>
      </c>
      <c r="B225" s="4" t="s">
        <v>78</v>
      </c>
      <c r="C225" s="4" t="s">
        <v>79</v>
      </c>
      <c r="D225" s="4" t="s">
        <v>80</v>
      </c>
      <c r="E225" s="4" t="s">
        <v>81</v>
      </c>
      <c r="F225" s="4" t="s">
        <v>82</v>
      </c>
      <c r="G225" s="4" t="s">
        <v>83</v>
      </c>
      <c r="H225" s="1"/>
      <c r="I225" s="4" t="s">
        <v>77</v>
      </c>
      <c r="J225" s="4" t="s">
        <v>78</v>
      </c>
      <c r="K225" s="4" t="s">
        <v>79</v>
      </c>
      <c r="L225" s="4" t="s">
        <v>80</v>
      </c>
      <c r="M225" s="4" t="s">
        <v>81</v>
      </c>
      <c r="N225" s="4" t="s">
        <v>82</v>
      </c>
      <c r="O225" s="4" t="s">
        <v>83</v>
      </c>
    </row>
    <row r="226" spans="1:15" ht="21.95" customHeight="1">
      <c r="A226" s="1">
        <v>1</v>
      </c>
      <c r="B226" s="1" t="str">
        <f>IF(OR(RSA!$C$12&lt;&gt;"Ready",LEN(RSA!C54)=0),"",RSA!$C$18)</f>
        <v/>
      </c>
      <c r="C226" s="1" t="str">
        <f>IF(OR(RSA!$C$12&lt;&gt;"Ready",LEN(RSA!C54)=0),"",RSA!D54)</f>
        <v/>
      </c>
      <c r="D226" s="1" t="str">
        <f>IF(OR(RSA!$C$12&lt;&gt;"Ready",LEN(RSA!C54)=0),"",MOD(B226,2))</f>
        <v/>
      </c>
      <c r="E226" s="1" t="str">
        <f>IF(OR(RSA!$C$12&lt;&gt;"Ready",LEN(RSA!C54)=0),"",1)</f>
        <v/>
      </c>
      <c r="F226" s="1" t="str">
        <f>IF(OR(RSA!$C$12&lt;&gt;"Ready",LEN(RSA!C54)=0),"",IF(D226=1,C226,1))</f>
        <v/>
      </c>
      <c r="G226" s="1" t="str">
        <f>IF(OR(RSA!$C$12&lt;&gt;"Ready",LEN(RSA!C54)=0),"",MOD(E226*F226,RSA!$C$16))</f>
        <v/>
      </c>
      <c r="H226" s="1"/>
      <c r="I226" s="1">
        <v>1</v>
      </c>
      <c r="J226" s="1" t="str">
        <f>IF(OR(RSA!$C$12&lt;&gt;"Ready",LEN(RSA!C54)=0),"",RSA!$C$19)</f>
        <v/>
      </c>
      <c r="K226" s="1" t="str">
        <f>IF(OR(RSA!$C$12&lt;&gt;"Ready",LEN(RSA!C54)=0),"",RSA!F54)</f>
        <v/>
      </c>
      <c r="L226" s="1" t="str">
        <f>IF(OR(RSA!$C$12&lt;&gt;"Ready",LEN(RSA!C54)=0),"",MOD(J226,2))</f>
        <v/>
      </c>
      <c r="M226" s="1" t="str">
        <f>IF(OR(RSA!$C$12&lt;&gt;"Ready",LEN(RSA!C54)=0),"",1)</f>
        <v/>
      </c>
      <c r="N226" s="1" t="str">
        <f>IF(OR(RSA!$C$12&lt;&gt;"Ready",LEN(RSA!C54)=0),"",IF(L226=1,K226,1))</f>
        <v/>
      </c>
      <c r="O226" s="1" t="str">
        <f>IF(OR(RSA!$C$12&lt;&gt;"Ready",LEN(RSA!C54)=0),"",MOD(M226*N226,RSA!$C$16))</f>
        <v/>
      </c>
    </row>
    <row r="227" spans="1:15" ht="21.95" customHeight="1">
      <c r="A227" s="1">
        <v>2</v>
      </c>
      <c r="B227" s="1" t="str">
        <f>IF(OR(RSA!$C$12&lt;&gt;"Ready",LEN(RSA!C54)=0),"",INT(B226/2))</f>
        <v/>
      </c>
      <c r="C227" s="1" t="str">
        <f>IF(OR(RSA!$C$12&lt;&gt;"Ready",LEN(RSA!C54)=0),"",MOD(C226*C226,RSA!$C$16))</f>
        <v/>
      </c>
      <c r="D227" s="1" t="str">
        <f>IF(OR(RSA!$C$12&lt;&gt;"Ready",LEN(RSA!C54)=0),"",MOD(B227,2))</f>
        <v/>
      </c>
      <c r="E227" s="1" t="str">
        <f>IF(OR(RSA!$C$12&lt;&gt;"Ready",LEN(RSA!C54)=0),"",G226)</f>
        <v/>
      </c>
      <c r="F227" s="1" t="str">
        <f>IF(OR(RSA!$C$12&lt;&gt;"Ready",LEN(RSA!C54)=0),"",IF(D227=1,C227,1))</f>
        <v/>
      </c>
      <c r="G227" s="1" t="str">
        <f>IF(OR(RSA!$C$12&lt;&gt;"Ready",LEN(RSA!C54)=0),"",MOD(E227*F227,RSA!$C$16))</f>
        <v/>
      </c>
      <c r="H227" s="1"/>
      <c r="I227" s="1">
        <v>2</v>
      </c>
      <c r="J227" s="1" t="str">
        <f>IF(OR(RSA!$C$12&lt;&gt;"Ready",LEN(RSA!C54)=0),"",INT(J226/2))</f>
        <v/>
      </c>
      <c r="K227" s="1" t="str">
        <f>IF(OR(RSA!$C$12&lt;&gt;"Ready",LEN(RSA!C54)=0),"",MOD(K226*K226,RSA!$C$16))</f>
        <v/>
      </c>
      <c r="L227" s="1" t="str">
        <f>IF(OR(RSA!$C$12&lt;&gt;"Ready",LEN(RSA!C54)=0),"",MOD(J227,2))</f>
        <v/>
      </c>
      <c r="M227" s="1" t="str">
        <f>IF(OR(RSA!$C$12&lt;&gt;"Ready",LEN(RSA!C54)=0),"",O226)</f>
        <v/>
      </c>
      <c r="N227" s="1" t="str">
        <f>IF(OR(RSA!$C$12&lt;&gt;"Ready",LEN(RSA!C54)=0),"",IF(L227=1,K227,1))</f>
        <v/>
      </c>
      <c r="O227" s="1" t="str">
        <f>IF(OR(RSA!$C$12&lt;&gt;"Ready",LEN(RSA!C54)=0),"",MOD(M227*N227,RSA!$C$16))</f>
        <v/>
      </c>
    </row>
    <row r="228" spans="1:15" ht="21.95" customHeight="1">
      <c r="A228" s="1">
        <v>3</v>
      </c>
      <c r="B228" s="1" t="str">
        <f>IF(OR(RSA!$C$12&lt;&gt;"Ready",LEN(RSA!C54)=0),"",INT(B227/2))</f>
        <v/>
      </c>
      <c r="C228" s="1" t="str">
        <f>IF(OR(RSA!$C$12&lt;&gt;"Ready",LEN(RSA!C54)=0),"",MOD(C227*C227,RSA!$C$16))</f>
        <v/>
      </c>
      <c r="D228" s="1" t="str">
        <f>IF(OR(RSA!$C$12&lt;&gt;"Ready",LEN(RSA!C54)=0),"",MOD(B228,2))</f>
        <v/>
      </c>
      <c r="E228" s="1" t="str">
        <f>IF(OR(RSA!$C$12&lt;&gt;"Ready",LEN(RSA!C54)=0),"",G227)</f>
        <v/>
      </c>
      <c r="F228" s="1" t="str">
        <f>IF(OR(RSA!$C$12&lt;&gt;"Ready",LEN(RSA!C54)=0),"",IF(D228=1,C228,1))</f>
        <v/>
      </c>
      <c r="G228" s="1" t="str">
        <f>IF(OR(RSA!$C$12&lt;&gt;"Ready",LEN(RSA!C54)=0),"",MOD(E228*F228,RSA!$C$16))</f>
        <v/>
      </c>
      <c r="H228" s="1"/>
      <c r="I228" s="1">
        <v>3</v>
      </c>
      <c r="J228" s="1" t="str">
        <f>IF(OR(RSA!$C$12&lt;&gt;"Ready",LEN(RSA!C54)=0),"",INT(J227/2))</f>
        <v/>
      </c>
      <c r="K228" s="1" t="str">
        <f>IF(OR(RSA!$C$12&lt;&gt;"Ready",LEN(RSA!C54)=0),"",MOD(K227*K227,RSA!$C$16))</f>
        <v/>
      </c>
      <c r="L228" s="1" t="str">
        <f>IF(OR(RSA!$C$12&lt;&gt;"Ready",LEN(RSA!C54)=0),"",MOD(J228,2))</f>
        <v/>
      </c>
      <c r="M228" s="1" t="str">
        <f>IF(OR(RSA!$C$12&lt;&gt;"Ready",LEN(RSA!C54)=0),"",O227)</f>
        <v/>
      </c>
      <c r="N228" s="1" t="str">
        <f>IF(OR(RSA!$C$12&lt;&gt;"Ready",LEN(RSA!C54)=0),"",IF(L228=1,K228,1))</f>
        <v/>
      </c>
      <c r="O228" s="1" t="str">
        <f>IF(OR(RSA!$C$12&lt;&gt;"Ready",LEN(RSA!C54)=0),"",MOD(M228*N228,RSA!$C$16))</f>
        <v/>
      </c>
    </row>
    <row r="229" spans="1:15" ht="21.95" customHeight="1">
      <c r="A229" s="1">
        <v>4</v>
      </c>
      <c r="B229" s="1" t="str">
        <f>IF(OR(RSA!$C$12&lt;&gt;"Ready",LEN(RSA!C54)=0),"",INT(B228/2))</f>
        <v/>
      </c>
      <c r="C229" s="1" t="str">
        <f>IF(OR(RSA!$C$12&lt;&gt;"Ready",LEN(RSA!C54)=0),"",MOD(C228*C228,RSA!$C$16))</f>
        <v/>
      </c>
      <c r="D229" s="1" t="str">
        <f>IF(OR(RSA!$C$12&lt;&gt;"Ready",LEN(RSA!C54)=0),"",MOD(B229,2))</f>
        <v/>
      </c>
      <c r="E229" s="1" t="str">
        <f>IF(OR(RSA!$C$12&lt;&gt;"Ready",LEN(RSA!C54)=0),"",G228)</f>
        <v/>
      </c>
      <c r="F229" s="1" t="str">
        <f>IF(OR(RSA!$C$12&lt;&gt;"Ready",LEN(RSA!C54)=0),"",IF(D229=1,C229,1))</f>
        <v/>
      </c>
      <c r="G229" s="1" t="str">
        <f>IF(OR(RSA!$C$12&lt;&gt;"Ready",LEN(RSA!C54)=0),"",MOD(E229*F229,RSA!$C$16))</f>
        <v/>
      </c>
      <c r="H229" s="1"/>
      <c r="I229" s="1">
        <v>4</v>
      </c>
      <c r="J229" s="1" t="str">
        <f>IF(OR(RSA!$C$12&lt;&gt;"Ready",LEN(RSA!C54)=0),"",INT(J228/2))</f>
        <v/>
      </c>
      <c r="K229" s="1" t="str">
        <f>IF(OR(RSA!$C$12&lt;&gt;"Ready",LEN(RSA!C54)=0),"",MOD(K228*K228,RSA!$C$16))</f>
        <v/>
      </c>
      <c r="L229" s="1" t="str">
        <f>IF(OR(RSA!$C$12&lt;&gt;"Ready",LEN(RSA!C54)=0),"",MOD(J229,2))</f>
        <v/>
      </c>
      <c r="M229" s="1" t="str">
        <f>IF(OR(RSA!$C$12&lt;&gt;"Ready",LEN(RSA!C54)=0),"",O228)</f>
        <v/>
      </c>
      <c r="N229" s="1" t="str">
        <f>IF(OR(RSA!$C$12&lt;&gt;"Ready",LEN(RSA!C54)=0),"",IF(L229=1,K229,1))</f>
        <v/>
      </c>
      <c r="O229" s="1" t="str">
        <f>IF(OR(RSA!$C$12&lt;&gt;"Ready",LEN(RSA!C54)=0),"",MOD(M229*N229,RSA!$C$16))</f>
        <v/>
      </c>
    </row>
    <row r="230" spans="1:15" ht="21.95" customHeight="1">
      <c r="A230" s="1">
        <v>5</v>
      </c>
      <c r="B230" s="1" t="str">
        <f>IF(OR(RSA!$C$12&lt;&gt;"Ready",LEN(RSA!C54)=0),"",INT(B229/2))</f>
        <v/>
      </c>
      <c r="C230" s="1" t="str">
        <f>IF(OR(RSA!$C$12&lt;&gt;"Ready",LEN(RSA!C54)=0),"",MOD(C229*C229,RSA!$C$16))</f>
        <v/>
      </c>
      <c r="D230" s="1" t="str">
        <f>IF(OR(RSA!$C$12&lt;&gt;"Ready",LEN(RSA!C54)=0),"",MOD(B230,2))</f>
        <v/>
      </c>
      <c r="E230" s="1" t="str">
        <f>IF(OR(RSA!$C$12&lt;&gt;"Ready",LEN(RSA!C54)=0),"",G229)</f>
        <v/>
      </c>
      <c r="F230" s="1" t="str">
        <f>IF(OR(RSA!$C$12&lt;&gt;"Ready",LEN(RSA!C54)=0),"",IF(D230=1,C230,1))</f>
        <v/>
      </c>
      <c r="G230" s="1" t="str">
        <f>IF(OR(RSA!$C$12&lt;&gt;"Ready",LEN(RSA!C54)=0),"",MOD(E230*F230,RSA!$C$16))</f>
        <v/>
      </c>
      <c r="H230" s="1"/>
      <c r="I230" s="1">
        <v>5</v>
      </c>
      <c r="J230" s="1" t="str">
        <f>IF(OR(RSA!$C$12&lt;&gt;"Ready",LEN(RSA!C54)=0),"",INT(J229/2))</f>
        <v/>
      </c>
      <c r="K230" s="1" t="str">
        <f>IF(OR(RSA!$C$12&lt;&gt;"Ready",LEN(RSA!C54)=0),"",MOD(K229*K229,RSA!$C$16))</f>
        <v/>
      </c>
      <c r="L230" s="1" t="str">
        <f>IF(OR(RSA!$C$12&lt;&gt;"Ready",LEN(RSA!C54)=0),"",MOD(J230,2))</f>
        <v/>
      </c>
      <c r="M230" s="1" t="str">
        <f>IF(OR(RSA!$C$12&lt;&gt;"Ready",LEN(RSA!C54)=0),"",O229)</f>
        <v/>
      </c>
      <c r="N230" s="1" t="str">
        <f>IF(OR(RSA!$C$12&lt;&gt;"Ready",LEN(RSA!C54)=0),"",IF(L230=1,K230,1))</f>
        <v/>
      </c>
      <c r="O230" s="1" t="str">
        <f>IF(OR(RSA!$C$12&lt;&gt;"Ready",LEN(RSA!C54)=0),"",MOD(M230*N230,RSA!$C$16))</f>
        <v/>
      </c>
    </row>
    <row r="231" spans="1:15" ht="21.95" customHeight="1">
      <c r="A231" s="1">
        <v>6</v>
      </c>
      <c r="B231" s="1" t="str">
        <f>IF(OR(RSA!$C$12&lt;&gt;"Ready",LEN(RSA!C54)=0),"",INT(B230/2))</f>
        <v/>
      </c>
      <c r="C231" s="1" t="str">
        <f>IF(OR(RSA!$C$12&lt;&gt;"Ready",LEN(RSA!C54)=0),"",MOD(C230*C230,RSA!$C$16))</f>
        <v/>
      </c>
      <c r="D231" s="1" t="str">
        <f>IF(OR(RSA!$C$12&lt;&gt;"Ready",LEN(RSA!C54)=0),"",MOD(B231,2))</f>
        <v/>
      </c>
      <c r="E231" s="1" t="str">
        <f>IF(OR(RSA!$C$12&lt;&gt;"Ready",LEN(RSA!C54)=0),"",G230)</f>
        <v/>
      </c>
      <c r="F231" s="1" t="str">
        <f>IF(OR(RSA!$C$12&lt;&gt;"Ready",LEN(RSA!C54)=0),"",IF(D231=1,C231,1))</f>
        <v/>
      </c>
      <c r="G231" s="1" t="str">
        <f>IF(OR(RSA!$C$12&lt;&gt;"Ready",LEN(RSA!C54)=0),"",MOD(E231*F231,RSA!$C$16))</f>
        <v/>
      </c>
      <c r="H231" s="1"/>
      <c r="I231" s="1">
        <v>6</v>
      </c>
      <c r="J231" s="1" t="str">
        <f>IF(OR(RSA!$C$12&lt;&gt;"Ready",LEN(RSA!C54)=0),"",INT(J230/2))</f>
        <v/>
      </c>
      <c r="K231" s="1" t="str">
        <f>IF(OR(RSA!$C$12&lt;&gt;"Ready",LEN(RSA!C54)=0),"",MOD(K230*K230,RSA!$C$16))</f>
        <v/>
      </c>
      <c r="L231" s="1" t="str">
        <f>IF(OR(RSA!$C$12&lt;&gt;"Ready",LEN(RSA!C54)=0),"",MOD(J231,2))</f>
        <v/>
      </c>
      <c r="M231" s="1" t="str">
        <f>IF(OR(RSA!$C$12&lt;&gt;"Ready",LEN(RSA!C54)=0),"",O230)</f>
        <v/>
      </c>
      <c r="N231" s="1" t="str">
        <f>IF(OR(RSA!$C$12&lt;&gt;"Ready",LEN(RSA!C54)=0),"",IF(L231=1,K231,1))</f>
        <v/>
      </c>
      <c r="O231" s="1" t="str">
        <f>IF(OR(RSA!$C$12&lt;&gt;"Ready",LEN(RSA!C54)=0),"",MOD(M231*N231,RSA!$C$16))</f>
        <v/>
      </c>
    </row>
    <row r="232" spans="1:15" ht="21.95" customHeight="1">
      <c r="A232" s="1">
        <v>7</v>
      </c>
      <c r="B232" s="1" t="str">
        <f>IF(OR(RSA!$C$12&lt;&gt;"Ready",LEN(RSA!C54)=0),"",INT(B231/2))</f>
        <v/>
      </c>
      <c r="C232" s="1" t="str">
        <f>IF(OR(RSA!$C$12&lt;&gt;"Ready",LEN(RSA!C54)=0),"",MOD(C231*C231,RSA!$C$16))</f>
        <v/>
      </c>
      <c r="D232" s="1" t="str">
        <f>IF(OR(RSA!$C$12&lt;&gt;"Ready",LEN(RSA!C54)=0),"",MOD(B232,2))</f>
        <v/>
      </c>
      <c r="E232" s="1" t="str">
        <f>IF(OR(RSA!$C$12&lt;&gt;"Ready",LEN(RSA!C54)=0),"",G231)</f>
        <v/>
      </c>
      <c r="F232" s="1" t="str">
        <f>IF(OR(RSA!$C$12&lt;&gt;"Ready",LEN(RSA!C54)=0),"",IF(D232=1,C232,1))</f>
        <v/>
      </c>
      <c r="G232" s="1" t="str">
        <f>IF(OR(RSA!$C$12&lt;&gt;"Ready",LEN(RSA!C54)=0),"",MOD(E232*F232,RSA!$C$16))</f>
        <v/>
      </c>
      <c r="H232" s="1"/>
      <c r="I232" s="1">
        <v>7</v>
      </c>
      <c r="J232" s="1" t="str">
        <f>IF(OR(RSA!$C$12&lt;&gt;"Ready",LEN(RSA!C54)=0),"",INT(J231/2))</f>
        <v/>
      </c>
      <c r="K232" s="1" t="str">
        <f>IF(OR(RSA!$C$12&lt;&gt;"Ready",LEN(RSA!C54)=0),"",MOD(K231*K231,RSA!$C$16))</f>
        <v/>
      </c>
      <c r="L232" s="1" t="str">
        <f>IF(OR(RSA!$C$12&lt;&gt;"Ready",LEN(RSA!C54)=0),"",MOD(J232,2))</f>
        <v/>
      </c>
      <c r="M232" s="1" t="str">
        <f>IF(OR(RSA!$C$12&lt;&gt;"Ready",LEN(RSA!C54)=0),"",O231)</f>
        <v/>
      </c>
      <c r="N232" s="1" t="str">
        <f>IF(OR(RSA!$C$12&lt;&gt;"Ready",LEN(RSA!C54)=0),"",IF(L232=1,K232,1))</f>
        <v/>
      </c>
      <c r="O232" s="1" t="str">
        <f>IF(OR(RSA!$C$12&lt;&gt;"Ready",LEN(RSA!C54)=0),"",MOD(M232*N232,RSA!$C$16))</f>
        <v/>
      </c>
    </row>
    <row r="233" spans="1:15" ht="21.95" customHeight="1">
      <c r="A233" s="1">
        <v>8</v>
      </c>
      <c r="B233" s="1" t="str">
        <f>IF(OR(RSA!$C$12&lt;&gt;"Ready",LEN(RSA!C54)=0),"",INT(B232/2))</f>
        <v/>
      </c>
      <c r="C233" s="1" t="str">
        <f>IF(OR(RSA!$C$12&lt;&gt;"Ready",LEN(RSA!C54)=0),"",MOD(C232*C232,RSA!$C$16))</f>
        <v/>
      </c>
      <c r="D233" s="1" t="str">
        <f>IF(OR(RSA!$C$12&lt;&gt;"Ready",LEN(RSA!C54)=0),"",MOD(B233,2))</f>
        <v/>
      </c>
      <c r="E233" s="1" t="str">
        <f>IF(OR(RSA!$C$12&lt;&gt;"Ready",LEN(RSA!C54)=0),"",G232)</f>
        <v/>
      </c>
      <c r="F233" s="1" t="str">
        <f>IF(OR(RSA!$C$12&lt;&gt;"Ready",LEN(RSA!C54)=0),"",IF(D233=1,C233,1))</f>
        <v/>
      </c>
      <c r="G233" s="1" t="str">
        <f>IF(OR(RSA!$C$12&lt;&gt;"Ready",LEN(RSA!C54)=0),"",MOD(E233*F233,RSA!$C$16))</f>
        <v/>
      </c>
      <c r="H233" s="1"/>
      <c r="I233" s="1">
        <v>8</v>
      </c>
      <c r="J233" s="1" t="str">
        <f>IF(OR(RSA!$C$12&lt;&gt;"Ready",LEN(RSA!C54)=0),"",INT(J232/2))</f>
        <v/>
      </c>
      <c r="K233" s="1" t="str">
        <f>IF(OR(RSA!$C$12&lt;&gt;"Ready",LEN(RSA!C54)=0),"",MOD(K232*K232,RSA!$C$16))</f>
        <v/>
      </c>
      <c r="L233" s="1" t="str">
        <f>IF(OR(RSA!$C$12&lt;&gt;"Ready",LEN(RSA!C54)=0),"",MOD(J233,2))</f>
        <v/>
      </c>
      <c r="M233" s="1" t="str">
        <f>IF(OR(RSA!$C$12&lt;&gt;"Ready",LEN(RSA!C54)=0),"",O232)</f>
        <v/>
      </c>
      <c r="N233" s="1" t="str">
        <f>IF(OR(RSA!$C$12&lt;&gt;"Ready",LEN(RSA!C54)=0),"",IF(L233=1,K233,1))</f>
        <v/>
      </c>
      <c r="O233" s="1" t="str">
        <f>IF(OR(RSA!$C$12&lt;&gt;"Ready",LEN(RSA!C54)=0),"",MOD(M233*N233,RSA!$C$16))</f>
        <v/>
      </c>
    </row>
    <row r="234" spans="1:15" ht="21.95" customHeight="1">
      <c r="A234" s="1">
        <v>9</v>
      </c>
      <c r="B234" s="1" t="str">
        <f>IF(OR(RSA!$C$12&lt;&gt;"Ready",LEN(RSA!C54)=0),"",INT(B233/2))</f>
        <v/>
      </c>
      <c r="C234" s="1" t="str">
        <f>IF(OR(RSA!$C$12&lt;&gt;"Ready",LEN(RSA!C54)=0),"",MOD(C233*C233,RSA!$C$16))</f>
        <v/>
      </c>
      <c r="D234" s="1" t="str">
        <f>IF(OR(RSA!$C$12&lt;&gt;"Ready",LEN(RSA!C54)=0),"",MOD(B234,2))</f>
        <v/>
      </c>
      <c r="E234" s="1" t="str">
        <f>IF(OR(RSA!$C$12&lt;&gt;"Ready",LEN(RSA!C54)=0),"",G233)</f>
        <v/>
      </c>
      <c r="F234" s="1" t="str">
        <f>IF(OR(RSA!$C$12&lt;&gt;"Ready",LEN(RSA!C54)=0),"",IF(D234=1,C234,1))</f>
        <v/>
      </c>
      <c r="G234" s="1" t="str">
        <f>IF(OR(RSA!$C$12&lt;&gt;"Ready",LEN(RSA!C54)=0),"",MOD(E234*F234,RSA!$C$16))</f>
        <v/>
      </c>
      <c r="H234" s="1"/>
      <c r="I234" s="1">
        <v>9</v>
      </c>
      <c r="J234" s="1" t="str">
        <f>IF(OR(RSA!$C$12&lt;&gt;"Ready",LEN(RSA!C54)=0),"",INT(J233/2))</f>
        <v/>
      </c>
      <c r="K234" s="1" t="str">
        <f>IF(OR(RSA!$C$12&lt;&gt;"Ready",LEN(RSA!C54)=0),"",MOD(K233*K233,RSA!$C$16))</f>
        <v/>
      </c>
      <c r="L234" s="1" t="str">
        <f>IF(OR(RSA!$C$12&lt;&gt;"Ready",LEN(RSA!C54)=0),"",MOD(J234,2))</f>
        <v/>
      </c>
      <c r="M234" s="1" t="str">
        <f>IF(OR(RSA!$C$12&lt;&gt;"Ready",LEN(RSA!C54)=0),"",O233)</f>
        <v/>
      </c>
      <c r="N234" s="1" t="str">
        <f>IF(OR(RSA!$C$12&lt;&gt;"Ready",LEN(RSA!C54)=0),"",IF(L234=1,K234,1))</f>
        <v/>
      </c>
      <c r="O234" s="1" t="str">
        <f>IF(OR(RSA!$C$12&lt;&gt;"Ready",LEN(RSA!C54)=0),"",MOD(M234*N234,RSA!$C$16))</f>
        <v/>
      </c>
    </row>
    <row r="235" spans="1:15" ht="21.95" customHeight="1">
      <c r="A235" s="1">
        <v>10</v>
      </c>
      <c r="B235" s="1" t="str">
        <f>IF(OR(RSA!$C$12&lt;&gt;"Ready",LEN(RSA!C54)=0),"",INT(B234/2))</f>
        <v/>
      </c>
      <c r="C235" s="1" t="str">
        <f>IF(OR(RSA!$C$12&lt;&gt;"Ready",LEN(RSA!C54)=0),"",MOD(C234*C234,RSA!$C$16))</f>
        <v/>
      </c>
      <c r="D235" s="1" t="str">
        <f>IF(OR(RSA!$C$12&lt;&gt;"Ready",LEN(RSA!C54)=0),"",MOD(B235,2))</f>
        <v/>
      </c>
      <c r="E235" s="1" t="str">
        <f>IF(OR(RSA!$C$12&lt;&gt;"Ready",LEN(RSA!C54)=0),"",G234)</f>
        <v/>
      </c>
      <c r="F235" s="1" t="str">
        <f>IF(OR(RSA!$C$12&lt;&gt;"Ready",LEN(RSA!C54)=0),"",IF(D235=1,C235,1))</f>
        <v/>
      </c>
      <c r="G235" s="1" t="str">
        <f>IF(OR(RSA!$C$12&lt;&gt;"Ready",LEN(RSA!C54)=0),"",MOD(E235*F235,RSA!$C$16))</f>
        <v/>
      </c>
      <c r="H235" s="1"/>
      <c r="I235" s="1">
        <v>10</v>
      </c>
      <c r="J235" s="1" t="str">
        <f>IF(OR(RSA!$C$12&lt;&gt;"Ready",LEN(RSA!C54)=0),"",INT(J234/2))</f>
        <v/>
      </c>
      <c r="K235" s="1" t="str">
        <f>IF(OR(RSA!$C$12&lt;&gt;"Ready",LEN(RSA!C54)=0),"",MOD(K234*K234,RSA!$C$16))</f>
        <v/>
      </c>
      <c r="L235" s="1" t="str">
        <f>IF(OR(RSA!$C$12&lt;&gt;"Ready",LEN(RSA!C54)=0),"",MOD(J235,2))</f>
        <v/>
      </c>
      <c r="M235" s="1" t="str">
        <f>IF(OR(RSA!$C$12&lt;&gt;"Ready",LEN(RSA!C54)=0),"",O234)</f>
        <v/>
      </c>
      <c r="N235" s="1" t="str">
        <f>IF(OR(RSA!$C$12&lt;&gt;"Ready",LEN(RSA!C54)=0),"",IF(L235=1,K235,1))</f>
        <v/>
      </c>
      <c r="O235" s="1" t="str">
        <f>IF(OR(RSA!$C$12&lt;&gt;"Ready",LEN(RSA!C54)=0),"",MOD(M235*N235,RSA!$C$16))</f>
        <v/>
      </c>
    </row>
    <row r="236" spans="1:15" ht="21.95" customHeight="1">
      <c r="A236" s="1">
        <v>11</v>
      </c>
      <c r="B236" s="1" t="str">
        <f>IF(OR(RSA!$C$12&lt;&gt;"Ready",LEN(RSA!C54)=0),"",INT(B235/2))</f>
        <v/>
      </c>
      <c r="C236" s="1" t="str">
        <f>IF(OR(RSA!$C$12&lt;&gt;"Ready",LEN(RSA!C54)=0),"",MOD(C235*C235,RSA!$C$16))</f>
        <v/>
      </c>
      <c r="D236" s="1" t="str">
        <f>IF(OR(RSA!$C$12&lt;&gt;"Ready",LEN(RSA!C54)=0),"",MOD(B236,2))</f>
        <v/>
      </c>
      <c r="E236" s="1" t="str">
        <f>IF(OR(RSA!$C$12&lt;&gt;"Ready",LEN(RSA!C54)=0),"",G235)</f>
        <v/>
      </c>
      <c r="F236" s="1" t="str">
        <f>IF(OR(RSA!$C$12&lt;&gt;"Ready",LEN(RSA!C54)=0),"",IF(D236=1,C236,1))</f>
        <v/>
      </c>
      <c r="G236" s="1" t="str">
        <f>IF(OR(RSA!$C$12&lt;&gt;"Ready",LEN(RSA!C54)=0),"",MOD(E236*F236,RSA!$C$16))</f>
        <v/>
      </c>
      <c r="H236" s="1"/>
      <c r="I236" s="1">
        <v>11</v>
      </c>
      <c r="J236" s="1" t="str">
        <f>IF(OR(RSA!$C$12&lt;&gt;"Ready",LEN(RSA!C54)=0),"",INT(J235/2))</f>
        <v/>
      </c>
      <c r="K236" s="1" t="str">
        <f>IF(OR(RSA!$C$12&lt;&gt;"Ready",LEN(RSA!C54)=0),"",MOD(K235*K235,RSA!$C$16))</f>
        <v/>
      </c>
      <c r="L236" s="1" t="str">
        <f>IF(OR(RSA!$C$12&lt;&gt;"Ready",LEN(RSA!C54)=0),"",MOD(J236,2))</f>
        <v/>
      </c>
      <c r="M236" s="1" t="str">
        <f>IF(OR(RSA!$C$12&lt;&gt;"Ready",LEN(RSA!C54)=0),"",O235)</f>
        <v/>
      </c>
      <c r="N236" s="1" t="str">
        <f>IF(OR(RSA!$C$12&lt;&gt;"Ready",LEN(RSA!C54)=0),"",IF(L236=1,K236,1))</f>
        <v/>
      </c>
      <c r="O236" s="1" t="str">
        <f>IF(OR(RSA!$C$12&lt;&gt;"Ready",LEN(RSA!C54)=0),"",MOD(M236*N236,RSA!$C$16))</f>
        <v/>
      </c>
    </row>
    <row r="237" spans="1:15" ht="21.95" customHeight="1">
      <c r="A237" s="1">
        <v>12</v>
      </c>
      <c r="B237" s="1" t="str">
        <f>IF(OR(RSA!$C$12&lt;&gt;"Ready",LEN(RSA!C54)=0),"",INT(B236/2))</f>
        <v/>
      </c>
      <c r="C237" s="1" t="str">
        <f>IF(OR(RSA!$C$12&lt;&gt;"Ready",LEN(RSA!C54)=0),"",MOD(C236*C236,RSA!$C$16))</f>
        <v/>
      </c>
      <c r="D237" s="1" t="str">
        <f>IF(OR(RSA!$C$12&lt;&gt;"Ready",LEN(RSA!C54)=0),"",MOD(B237,2))</f>
        <v/>
      </c>
      <c r="E237" s="1" t="str">
        <f>IF(OR(RSA!$C$12&lt;&gt;"Ready",LEN(RSA!C54)=0),"",G236)</f>
        <v/>
      </c>
      <c r="F237" s="1" t="str">
        <f>IF(OR(RSA!$C$12&lt;&gt;"Ready",LEN(RSA!C54)=0),"",IF(D237=1,C237,1))</f>
        <v/>
      </c>
      <c r="G237" s="1" t="str">
        <f>IF(OR(RSA!$C$12&lt;&gt;"Ready",LEN(RSA!C54)=0),"",MOD(E237*F237,RSA!$C$16))</f>
        <v/>
      </c>
      <c r="H237" s="1"/>
      <c r="I237" s="1">
        <v>12</v>
      </c>
      <c r="J237" s="1" t="str">
        <f>IF(OR(RSA!$C$12&lt;&gt;"Ready",LEN(RSA!C54)=0),"",INT(J236/2))</f>
        <v/>
      </c>
      <c r="K237" s="1" t="str">
        <f>IF(OR(RSA!$C$12&lt;&gt;"Ready",LEN(RSA!C54)=0),"",MOD(K236*K236,RSA!$C$16))</f>
        <v/>
      </c>
      <c r="L237" s="1" t="str">
        <f>IF(OR(RSA!$C$12&lt;&gt;"Ready",LEN(RSA!C54)=0),"",MOD(J237,2))</f>
        <v/>
      </c>
      <c r="M237" s="1" t="str">
        <f>IF(OR(RSA!$C$12&lt;&gt;"Ready",LEN(RSA!C54)=0),"",O236)</f>
        <v/>
      </c>
      <c r="N237" s="1" t="str">
        <f>IF(OR(RSA!$C$12&lt;&gt;"Ready",LEN(RSA!C54)=0),"",IF(L237=1,K237,1))</f>
        <v/>
      </c>
      <c r="O237" s="1" t="str">
        <f>IF(OR(RSA!$C$12&lt;&gt;"Ready",LEN(RSA!C54)=0),"",MOD(M237*N237,RSA!$C$16))</f>
        <v/>
      </c>
    </row>
    <row r="238" spans="1:15" ht="21.95" customHeight="1">
      <c r="A238" s="1">
        <v>13</v>
      </c>
      <c r="B238" s="1" t="str">
        <f>IF(OR(RSA!$C$12&lt;&gt;"Ready",LEN(RSA!C54)=0),"",INT(B237/2))</f>
        <v/>
      </c>
      <c r="C238" s="1" t="str">
        <f>IF(OR(RSA!$C$12&lt;&gt;"Ready",LEN(RSA!C54)=0),"",MOD(C237*C237,RSA!$C$16))</f>
        <v/>
      </c>
      <c r="D238" s="1" t="str">
        <f>IF(OR(RSA!$C$12&lt;&gt;"Ready",LEN(RSA!C54)=0),"",MOD(B238,2))</f>
        <v/>
      </c>
      <c r="E238" s="1" t="str">
        <f>IF(OR(RSA!$C$12&lt;&gt;"Ready",LEN(RSA!C54)=0),"",G237)</f>
        <v/>
      </c>
      <c r="F238" s="1" t="str">
        <f>IF(OR(RSA!$C$12&lt;&gt;"Ready",LEN(RSA!C54)=0),"",IF(D238=1,C238,1))</f>
        <v/>
      </c>
      <c r="G238" s="1" t="str">
        <f>IF(OR(RSA!$C$12&lt;&gt;"Ready",LEN(RSA!C54)=0),"",MOD(E238*F238,RSA!$C$16))</f>
        <v/>
      </c>
      <c r="H238" s="1"/>
      <c r="I238" s="1">
        <v>13</v>
      </c>
      <c r="J238" s="1" t="str">
        <f>IF(OR(RSA!$C$12&lt;&gt;"Ready",LEN(RSA!C54)=0),"",INT(J237/2))</f>
        <v/>
      </c>
      <c r="K238" s="1" t="str">
        <f>IF(OR(RSA!$C$12&lt;&gt;"Ready",LEN(RSA!C54)=0),"",MOD(K237*K237,RSA!$C$16))</f>
        <v/>
      </c>
      <c r="L238" s="1" t="str">
        <f>IF(OR(RSA!$C$12&lt;&gt;"Ready",LEN(RSA!C54)=0),"",MOD(J238,2))</f>
        <v/>
      </c>
      <c r="M238" s="1" t="str">
        <f>IF(OR(RSA!$C$12&lt;&gt;"Ready",LEN(RSA!C54)=0),"",O237)</f>
        <v/>
      </c>
      <c r="N238" s="1" t="str">
        <f>IF(OR(RSA!$C$12&lt;&gt;"Ready",LEN(RSA!C54)=0),"",IF(L238=1,K238,1))</f>
        <v/>
      </c>
      <c r="O238" s="1" t="str">
        <f>IF(OR(RSA!$C$12&lt;&gt;"Ready",LEN(RSA!C54)=0),"",MOD(M238*N238,RSA!$C$16))</f>
        <v/>
      </c>
    </row>
    <row r="239" spans="1:15" ht="21.95" customHeight="1">
      <c r="A239" s="1">
        <v>14</v>
      </c>
      <c r="B239" s="1" t="str">
        <f>IF(OR(RSA!$C$12&lt;&gt;"Ready",LEN(RSA!C54)=0),"",INT(B238/2))</f>
        <v/>
      </c>
      <c r="C239" s="1" t="str">
        <f>IF(OR(RSA!$C$12&lt;&gt;"Ready",LEN(RSA!C54)=0),"",MOD(C238*C238,RSA!$C$16))</f>
        <v/>
      </c>
      <c r="D239" s="1" t="str">
        <f>IF(OR(RSA!$C$12&lt;&gt;"Ready",LEN(RSA!C54)=0),"",MOD(B239,2))</f>
        <v/>
      </c>
      <c r="E239" s="1" t="str">
        <f>IF(OR(RSA!$C$12&lt;&gt;"Ready",LEN(RSA!C54)=0),"",G238)</f>
        <v/>
      </c>
      <c r="F239" s="1" t="str">
        <f>IF(OR(RSA!$C$12&lt;&gt;"Ready",LEN(RSA!C54)=0),"",IF(D239=1,C239,1))</f>
        <v/>
      </c>
      <c r="G239" s="12" t="str">
        <f>IF(OR(RSA!$C$12&lt;&gt;"Ready",LEN(RSA!C54)=0),"",MOD(E239*F239,RSA!$C$16))</f>
        <v/>
      </c>
      <c r="H239" s="1"/>
      <c r="I239" s="1">
        <v>14</v>
      </c>
      <c r="J239" s="1" t="str">
        <f>IF(OR(RSA!$C$12&lt;&gt;"Ready",LEN(RSA!C54)=0),"",INT(J238/2))</f>
        <v/>
      </c>
      <c r="K239" s="1" t="str">
        <f>IF(OR(RSA!$C$12&lt;&gt;"Ready",LEN(RSA!C54)=0),"",MOD(K238*K238,RSA!$C$16))</f>
        <v/>
      </c>
      <c r="L239" s="1" t="str">
        <f>IF(OR(RSA!$C$12&lt;&gt;"Ready",LEN(RSA!C54)=0),"",MOD(J239,2))</f>
        <v/>
      </c>
      <c r="M239" s="1" t="str">
        <f>IF(OR(RSA!$C$12&lt;&gt;"Ready",LEN(RSA!C54)=0),"",O238)</f>
        <v/>
      </c>
      <c r="N239" s="1" t="str">
        <f>IF(OR(RSA!$C$12&lt;&gt;"Ready",LEN(RSA!C54)=0),"",IF(L239=1,K239,1))</f>
        <v/>
      </c>
      <c r="O239" s="12" t="str">
        <f>IF(OR(RSA!$C$12&lt;&gt;"Ready",LEN(RSA!C54)=0),"",MOD(M239*N239,RSA!$C$16))</f>
        <v/>
      </c>
    </row>
    <row r="240" spans="1:15" ht="21.9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21.9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21.95" customHeight="1">
      <c r="A242" s="1" t="s">
        <v>108</v>
      </c>
      <c r="B242" s="1"/>
      <c r="C242" s="1"/>
      <c r="D242" s="1"/>
      <c r="E242" s="1"/>
      <c r="F242" s="1"/>
      <c r="G242" s="1"/>
      <c r="H242" s="1"/>
      <c r="I242" s="1" t="s">
        <v>109</v>
      </c>
      <c r="J242" s="1"/>
      <c r="K242" s="1"/>
      <c r="L242" s="1"/>
      <c r="M242" s="1"/>
      <c r="N242" s="1"/>
      <c r="O242" s="1"/>
    </row>
    <row r="243" spans="1:15" ht="32.1" customHeight="1">
      <c r="A243" s="4" t="s">
        <v>77</v>
      </c>
      <c r="B243" s="4" t="s">
        <v>78</v>
      </c>
      <c r="C243" s="4" t="s">
        <v>79</v>
      </c>
      <c r="D243" s="4" t="s">
        <v>80</v>
      </c>
      <c r="E243" s="4" t="s">
        <v>81</v>
      </c>
      <c r="F243" s="4" t="s">
        <v>82</v>
      </c>
      <c r="G243" s="4" t="s">
        <v>83</v>
      </c>
      <c r="H243" s="1"/>
      <c r="I243" s="4" t="s">
        <v>77</v>
      </c>
      <c r="J243" s="4" t="s">
        <v>78</v>
      </c>
      <c r="K243" s="4" t="s">
        <v>79</v>
      </c>
      <c r="L243" s="4" t="s">
        <v>80</v>
      </c>
      <c r="M243" s="4" t="s">
        <v>81</v>
      </c>
      <c r="N243" s="4" t="s">
        <v>82</v>
      </c>
      <c r="O243" s="4" t="s">
        <v>83</v>
      </c>
    </row>
    <row r="244" spans="1:15" ht="21.95" customHeight="1">
      <c r="A244" s="1">
        <v>1</v>
      </c>
      <c r="B244" s="1" t="str">
        <f>IF(OR(RSA!$C$12&lt;&gt;"Ready",LEN(RSA!C55)=0),"",RSA!$C$18)</f>
        <v/>
      </c>
      <c r="C244" s="1" t="str">
        <f>IF(OR(RSA!$C$12&lt;&gt;"Ready",LEN(RSA!C55)=0),"",RSA!D55)</f>
        <v/>
      </c>
      <c r="D244" s="1" t="str">
        <f>IF(OR(RSA!$C$12&lt;&gt;"Ready",LEN(RSA!C55)=0),"",MOD(B244,2))</f>
        <v/>
      </c>
      <c r="E244" s="1" t="str">
        <f>IF(OR(RSA!$C$12&lt;&gt;"Ready",LEN(RSA!C55)=0),"",1)</f>
        <v/>
      </c>
      <c r="F244" s="1" t="str">
        <f>IF(OR(RSA!$C$12&lt;&gt;"Ready",LEN(RSA!C55)=0),"",IF(D244=1,C244,1))</f>
        <v/>
      </c>
      <c r="G244" s="1" t="str">
        <f>IF(OR(RSA!$C$12&lt;&gt;"Ready",LEN(RSA!C55)=0),"",MOD(E244*F244,RSA!$C$16))</f>
        <v/>
      </c>
      <c r="H244" s="1"/>
      <c r="I244" s="1">
        <v>1</v>
      </c>
      <c r="J244" s="1" t="str">
        <f>IF(OR(RSA!$C$12&lt;&gt;"Ready",LEN(RSA!C55)=0),"",RSA!$C$19)</f>
        <v/>
      </c>
      <c r="K244" s="1" t="str">
        <f>IF(OR(RSA!$C$12&lt;&gt;"Ready",LEN(RSA!C55)=0),"",RSA!F55)</f>
        <v/>
      </c>
      <c r="L244" s="1" t="str">
        <f>IF(OR(RSA!$C$12&lt;&gt;"Ready",LEN(RSA!C55)=0),"",MOD(J244,2))</f>
        <v/>
      </c>
      <c r="M244" s="1" t="str">
        <f>IF(OR(RSA!$C$12&lt;&gt;"Ready",LEN(RSA!C55)=0),"",1)</f>
        <v/>
      </c>
      <c r="N244" s="1" t="str">
        <f>IF(OR(RSA!$C$12&lt;&gt;"Ready",LEN(RSA!C55)=0),"",IF(L244=1,K244,1))</f>
        <v/>
      </c>
      <c r="O244" s="1" t="str">
        <f>IF(OR(RSA!$C$12&lt;&gt;"Ready",LEN(RSA!C55)=0),"",MOD(M244*N244,RSA!$C$16))</f>
        <v/>
      </c>
    </row>
    <row r="245" spans="1:15" ht="21.95" customHeight="1">
      <c r="A245" s="1">
        <v>2</v>
      </c>
      <c r="B245" s="1" t="str">
        <f>IF(OR(RSA!$C$12&lt;&gt;"Ready",LEN(RSA!C55)=0),"",INT(B244/2))</f>
        <v/>
      </c>
      <c r="C245" s="1" t="str">
        <f>IF(OR(RSA!$C$12&lt;&gt;"Ready",LEN(RSA!C55)=0),"",MOD(C244*C244,RSA!$C$16))</f>
        <v/>
      </c>
      <c r="D245" s="1" t="str">
        <f>IF(OR(RSA!$C$12&lt;&gt;"Ready",LEN(RSA!C55)=0),"",MOD(B245,2))</f>
        <v/>
      </c>
      <c r="E245" s="1" t="str">
        <f>IF(OR(RSA!$C$12&lt;&gt;"Ready",LEN(RSA!C55)=0),"",G244)</f>
        <v/>
      </c>
      <c r="F245" s="1" t="str">
        <f>IF(OR(RSA!$C$12&lt;&gt;"Ready",LEN(RSA!C55)=0),"",IF(D245=1,C245,1))</f>
        <v/>
      </c>
      <c r="G245" s="1" t="str">
        <f>IF(OR(RSA!$C$12&lt;&gt;"Ready",LEN(RSA!C55)=0),"",MOD(E245*F245,RSA!$C$16))</f>
        <v/>
      </c>
      <c r="H245" s="1"/>
      <c r="I245" s="1">
        <v>2</v>
      </c>
      <c r="J245" s="1" t="str">
        <f>IF(OR(RSA!$C$12&lt;&gt;"Ready",LEN(RSA!C55)=0),"",INT(J244/2))</f>
        <v/>
      </c>
      <c r="K245" s="1" t="str">
        <f>IF(OR(RSA!$C$12&lt;&gt;"Ready",LEN(RSA!C55)=0),"",MOD(K244*K244,RSA!$C$16))</f>
        <v/>
      </c>
      <c r="L245" s="1" t="str">
        <f>IF(OR(RSA!$C$12&lt;&gt;"Ready",LEN(RSA!C55)=0),"",MOD(J245,2))</f>
        <v/>
      </c>
      <c r="M245" s="1" t="str">
        <f>IF(OR(RSA!$C$12&lt;&gt;"Ready",LEN(RSA!C55)=0),"",O244)</f>
        <v/>
      </c>
      <c r="N245" s="1" t="str">
        <f>IF(OR(RSA!$C$12&lt;&gt;"Ready",LEN(RSA!C55)=0),"",IF(L245=1,K245,1))</f>
        <v/>
      </c>
      <c r="O245" s="1" t="str">
        <f>IF(OR(RSA!$C$12&lt;&gt;"Ready",LEN(RSA!C55)=0),"",MOD(M245*N245,RSA!$C$16))</f>
        <v/>
      </c>
    </row>
    <row r="246" spans="1:15" ht="21.95" customHeight="1">
      <c r="A246" s="1">
        <v>3</v>
      </c>
      <c r="B246" s="1" t="str">
        <f>IF(OR(RSA!$C$12&lt;&gt;"Ready",LEN(RSA!C55)=0),"",INT(B245/2))</f>
        <v/>
      </c>
      <c r="C246" s="1" t="str">
        <f>IF(OR(RSA!$C$12&lt;&gt;"Ready",LEN(RSA!C55)=0),"",MOD(C245*C245,RSA!$C$16))</f>
        <v/>
      </c>
      <c r="D246" s="1" t="str">
        <f>IF(OR(RSA!$C$12&lt;&gt;"Ready",LEN(RSA!C55)=0),"",MOD(B246,2))</f>
        <v/>
      </c>
      <c r="E246" s="1" t="str">
        <f>IF(OR(RSA!$C$12&lt;&gt;"Ready",LEN(RSA!C55)=0),"",G245)</f>
        <v/>
      </c>
      <c r="F246" s="1" t="str">
        <f>IF(OR(RSA!$C$12&lt;&gt;"Ready",LEN(RSA!C55)=0),"",IF(D246=1,C246,1))</f>
        <v/>
      </c>
      <c r="G246" s="1" t="str">
        <f>IF(OR(RSA!$C$12&lt;&gt;"Ready",LEN(RSA!C55)=0),"",MOD(E246*F246,RSA!$C$16))</f>
        <v/>
      </c>
      <c r="H246" s="1"/>
      <c r="I246" s="1">
        <v>3</v>
      </c>
      <c r="J246" s="1" t="str">
        <f>IF(OR(RSA!$C$12&lt;&gt;"Ready",LEN(RSA!C55)=0),"",INT(J245/2))</f>
        <v/>
      </c>
      <c r="K246" s="1" t="str">
        <f>IF(OR(RSA!$C$12&lt;&gt;"Ready",LEN(RSA!C55)=0),"",MOD(K245*K245,RSA!$C$16))</f>
        <v/>
      </c>
      <c r="L246" s="1" t="str">
        <f>IF(OR(RSA!$C$12&lt;&gt;"Ready",LEN(RSA!C55)=0),"",MOD(J246,2))</f>
        <v/>
      </c>
      <c r="M246" s="1" t="str">
        <f>IF(OR(RSA!$C$12&lt;&gt;"Ready",LEN(RSA!C55)=0),"",O245)</f>
        <v/>
      </c>
      <c r="N246" s="1" t="str">
        <f>IF(OR(RSA!$C$12&lt;&gt;"Ready",LEN(RSA!C55)=0),"",IF(L246=1,K246,1))</f>
        <v/>
      </c>
      <c r="O246" s="1" t="str">
        <f>IF(OR(RSA!$C$12&lt;&gt;"Ready",LEN(RSA!C55)=0),"",MOD(M246*N246,RSA!$C$16))</f>
        <v/>
      </c>
    </row>
    <row r="247" spans="1:15" ht="21.95" customHeight="1">
      <c r="A247" s="1">
        <v>4</v>
      </c>
      <c r="B247" s="1" t="str">
        <f>IF(OR(RSA!$C$12&lt;&gt;"Ready",LEN(RSA!C55)=0),"",INT(B246/2))</f>
        <v/>
      </c>
      <c r="C247" s="1" t="str">
        <f>IF(OR(RSA!$C$12&lt;&gt;"Ready",LEN(RSA!C55)=0),"",MOD(C246*C246,RSA!$C$16))</f>
        <v/>
      </c>
      <c r="D247" s="1" t="str">
        <f>IF(OR(RSA!$C$12&lt;&gt;"Ready",LEN(RSA!C55)=0),"",MOD(B247,2))</f>
        <v/>
      </c>
      <c r="E247" s="1" t="str">
        <f>IF(OR(RSA!$C$12&lt;&gt;"Ready",LEN(RSA!C55)=0),"",G246)</f>
        <v/>
      </c>
      <c r="F247" s="1" t="str">
        <f>IF(OR(RSA!$C$12&lt;&gt;"Ready",LEN(RSA!C55)=0),"",IF(D247=1,C247,1))</f>
        <v/>
      </c>
      <c r="G247" s="1" t="str">
        <f>IF(OR(RSA!$C$12&lt;&gt;"Ready",LEN(RSA!C55)=0),"",MOD(E247*F247,RSA!$C$16))</f>
        <v/>
      </c>
      <c r="H247" s="1"/>
      <c r="I247" s="1">
        <v>4</v>
      </c>
      <c r="J247" s="1" t="str">
        <f>IF(OR(RSA!$C$12&lt;&gt;"Ready",LEN(RSA!C55)=0),"",INT(J246/2))</f>
        <v/>
      </c>
      <c r="K247" s="1" t="str">
        <f>IF(OR(RSA!$C$12&lt;&gt;"Ready",LEN(RSA!C55)=0),"",MOD(K246*K246,RSA!$C$16))</f>
        <v/>
      </c>
      <c r="L247" s="1" t="str">
        <f>IF(OR(RSA!$C$12&lt;&gt;"Ready",LEN(RSA!C55)=0),"",MOD(J247,2))</f>
        <v/>
      </c>
      <c r="M247" s="1" t="str">
        <f>IF(OR(RSA!$C$12&lt;&gt;"Ready",LEN(RSA!C55)=0),"",O246)</f>
        <v/>
      </c>
      <c r="N247" s="1" t="str">
        <f>IF(OR(RSA!$C$12&lt;&gt;"Ready",LEN(RSA!C55)=0),"",IF(L247=1,K247,1))</f>
        <v/>
      </c>
      <c r="O247" s="1" t="str">
        <f>IF(OR(RSA!$C$12&lt;&gt;"Ready",LEN(RSA!C55)=0),"",MOD(M247*N247,RSA!$C$16))</f>
        <v/>
      </c>
    </row>
    <row r="248" spans="1:15" ht="21.95" customHeight="1">
      <c r="A248" s="1">
        <v>5</v>
      </c>
      <c r="B248" s="1" t="str">
        <f>IF(OR(RSA!$C$12&lt;&gt;"Ready",LEN(RSA!C55)=0),"",INT(B247/2))</f>
        <v/>
      </c>
      <c r="C248" s="1" t="str">
        <f>IF(OR(RSA!$C$12&lt;&gt;"Ready",LEN(RSA!C55)=0),"",MOD(C247*C247,RSA!$C$16))</f>
        <v/>
      </c>
      <c r="D248" s="1" t="str">
        <f>IF(OR(RSA!$C$12&lt;&gt;"Ready",LEN(RSA!C55)=0),"",MOD(B248,2))</f>
        <v/>
      </c>
      <c r="E248" s="1" t="str">
        <f>IF(OR(RSA!$C$12&lt;&gt;"Ready",LEN(RSA!C55)=0),"",G247)</f>
        <v/>
      </c>
      <c r="F248" s="1" t="str">
        <f>IF(OR(RSA!$C$12&lt;&gt;"Ready",LEN(RSA!C55)=0),"",IF(D248=1,C248,1))</f>
        <v/>
      </c>
      <c r="G248" s="1" t="str">
        <f>IF(OR(RSA!$C$12&lt;&gt;"Ready",LEN(RSA!C55)=0),"",MOD(E248*F248,RSA!$C$16))</f>
        <v/>
      </c>
      <c r="H248" s="1"/>
      <c r="I248" s="1">
        <v>5</v>
      </c>
      <c r="J248" s="1" t="str">
        <f>IF(OR(RSA!$C$12&lt;&gt;"Ready",LEN(RSA!C55)=0),"",INT(J247/2))</f>
        <v/>
      </c>
      <c r="K248" s="1" t="str">
        <f>IF(OR(RSA!$C$12&lt;&gt;"Ready",LEN(RSA!C55)=0),"",MOD(K247*K247,RSA!$C$16))</f>
        <v/>
      </c>
      <c r="L248" s="1" t="str">
        <f>IF(OR(RSA!$C$12&lt;&gt;"Ready",LEN(RSA!C55)=0),"",MOD(J248,2))</f>
        <v/>
      </c>
      <c r="M248" s="1" t="str">
        <f>IF(OR(RSA!$C$12&lt;&gt;"Ready",LEN(RSA!C55)=0),"",O247)</f>
        <v/>
      </c>
      <c r="N248" s="1" t="str">
        <f>IF(OR(RSA!$C$12&lt;&gt;"Ready",LEN(RSA!C55)=0),"",IF(L248=1,K248,1))</f>
        <v/>
      </c>
      <c r="O248" s="1" t="str">
        <f>IF(OR(RSA!$C$12&lt;&gt;"Ready",LEN(RSA!C55)=0),"",MOD(M248*N248,RSA!$C$16))</f>
        <v/>
      </c>
    </row>
    <row r="249" spans="1:15" ht="21.95" customHeight="1">
      <c r="A249" s="1">
        <v>6</v>
      </c>
      <c r="B249" s="1" t="str">
        <f>IF(OR(RSA!$C$12&lt;&gt;"Ready",LEN(RSA!C55)=0),"",INT(B248/2))</f>
        <v/>
      </c>
      <c r="C249" s="1" t="str">
        <f>IF(OR(RSA!$C$12&lt;&gt;"Ready",LEN(RSA!C55)=0),"",MOD(C248*C248,RSA!$C$16))</f>
        <v/>
      </c>
      <c r="D249" s="1" t="str">
        <f>IF(OR(RSA!$C$12&lt;&gt;"Ready",LEN(RSA!C55)=0),"",MOD(B249,2))</f>
        <v/>
      </c>
      <c r="E249" s="1" t="str">
        <f>IF(OR(RSA!$C$12&lt;&gt;"Ready",LEN(RSA!C55)=0),"",G248)</f>
        <v/>
      </c>
      <c r="F249" s="1" t="str">
        <f>IF(OR(RSA!$C$12&lt;&gt;"Ready",LEN(RSA!C55)=0),"",IF(D249=1,C249,1))</f>
        <v/>
      </c>
      <c r="G249" s="1" t="str">
        <f>IF(OR(RSA!$C$12&lt;&gt;"Ready",LEN(RSA!C55)=0),"",MOD(E249*F249,RSA!$C$16))</f>
        <v/>
      </c>
      <c r="H249" s="1"/>
      <c r="I249" s="1">
        <v>6</v>
      </c>
      <c r="J249" s="1" t="str">
        <f>IF(OR(RSA!$C$12&lt;&gt;"Ready",LEN(RSA!C55)=0),"",INT(J248/2))</f>
        <v/>
      </c>
      <c r="K249" s="1" t="str">
        <f>IF(OR(RSA!$C$12&lt;&gt;"Ready",LEN(RSA!C55)=0),"",MOD(K248*K248,RSA!$C$16))</f>
        <v/>
      </c>
      <c r="L249" s="1" t="str">
        <f>IF(OR(RSA!$C$12&lt;&gt;"Ready",LEN(RSA!C55)=0),"",MOD(J249,2))</f>
        <v/>
      </c>
      <c r="M249" s="1" t="str">
        <f>IF(OR(RSA!$C$12&lt;&gt;"Ready",LEN(RSA!C55)=0),"",O248)</f>
        <v/>
      </c>
      <c r="N249" s="1" t="str">
        <f>IF(OR(RSA!$C$12&lt;&gt;"Ready",LEN(RSA!C55)=0),"",IF(L249=1,K249,1))</f>
        <v/>
      </c>
      <c r="O249" s="1" t="str">
        <f>IF(OR(RSA!$C$12&lt;&gt;"Ready",LEN(RSA!C55)=0),"",MOD(M249*N249,RSA!$C$16))</f>
        <v/>
      </c>
    </row>
    <row r="250" spans="1:15" ht="21.95" customHeight="1">
      <c r="A250" s="1">
        <v>7</v>
      </c>
      <c r="B250" s="1" t="str">
        <f>IF(OR(RSA!$C$12&lt;&gt;"Ready",LEN(RSA!C55)=0),"",INT(B249/2))</f>
        <v/>
      </c>
      <c r="C250" s="1" t="str">
        <f>IF(OR(RSA!$C$12&lt;&gt;"Ready",LEN(RSA!C55)=0),"",MOD(C249*C249,RSA!$C$16))</f>
        <v/>
      </c>
      <c r="D250" s="1" t="str">
        <f>IF(OR(RSA!$C$12&lt;&gt;"Ready",LEN(RSA!C55)=0),"",MOD(B250,2))</f>
        <v/>
      </c>
      <c r="E250" s="1" t="str">
        <f>IF(OR(RSA!$C$12&lt;&gt;"Ready",LEN(RSA!C55)=0),"",G249)</f>
        <v/>
      </c>
      <c r="F250" s="1" t="str">
        <f>IF(OR(RSA!$C$12&lt;&gt;"Ready",LEN(RSA!C55)=0),"",IF(D250=1,C250,1))</f>
        <v/>
      </c>
      <c r="G250" s="1" t="str">
        <f>IF(OR(RSA!$C$12&lt;&gt;"Ready",LEN(RSA!C55)=0),"",MOD(E250*F250,RSA!$C$16))</f>
        <v/>
      </c>
      <c r="H250" s="1"/>
      <c r="I250" s="1">
        <v>7</v>
      </c>
      <c r="J250" s="1" t="str">
        <f>IF(OR(RSA!$C$12&lt;&gt;"Ready",LEN(RSA!C55)=0),"",INT(J249/2))</f>
        <v/>
      </c>
      <c r="K250" s="1" t="str">
        <f>IF(OR(RSA!$C$12&lt;&gt;"Ready",LEN(RSA!C55)=0),"",MOD(K249*K249,RSA!$C$16))</f>
        <v/>
      </c>
      <c r="L250" s="1" t="str">
        <f>IF(OR(RSA!$C$12&lt;&gt;"Ready",LEN(RSA!C55)=0),"",MOD(J250,2))</f>
        <v/>
      </c>
      <c r="M250" s="1" t="str">
        <f>IF(OR(RSA!$C$12&lt;&gt;"Ready",LEN(RSA!C55)=0),"",O249)</f>
        <v/>
      </c>
      <c r="N250" s="1" t="str">
        <f>IF(OR(RSA!$C$12&lt;&gt;"Ready",LEN(RSA!C55)=0),"",IF(L250=1,K250,1))</f>
        <v/>
      </c>
      <c r="O250" s="1" t="str">
        <f>IF(OR(RSA!$C$12&lt;&gt;"Ready",LEN(RSA!C55)=0),"",MOD(M250*N250,RSA!$C$16))</f>
        <v/>
      </c>
    </row>
    <row r="251" spans="1:15" ht="21.95" customHeight="1">
      <c r="A251" s="1">
        <v>8</v>
      </c>
      <c r="B251" s="1" t="str">
        <f>IF(OR(RSA!$C$12&lt;&gt;"Ready",LEN(RSA!C55)=0),"",INT(B250/2))</f>
        <v/>
      </c>
      <c r="C251" s="1" t="str">
        <f>IF(OR(RSA!$C$12&lt;&gt;"Ready",LEN(RSA!C55)=0),"",MOD(C250*C250,RSA!$C$16))</f>
        <v/>
      </c>
      <c r="D251" s="1" t="str">
        <f>IF(OR(RSA!$C$12&lt;&gt;"Ready",LEN(RSA!C55)=0),"",MOD(B251,2))</f>
        <v/>
      </c>
      <c r="E251" s="1" t="str">
        <f>IF(OR(RSA!$C$12&lt;&gt;"Ready",LEN(RSA!C55)=0),"",G250)</f>
        <v/>
      </c>
      <c r="F251" s="1" t="str">
        <f>IF(OR(RSA!$C$12&lt;&gt;"Ready",LEN(RSA!C55)=0),"",IF(D251=1,C251,1))</f>
        <v/>
      </c>
      <c r="G251" s="1" t="str">
        <f>IF(OR(RSA!$C$12&lt;&gt;"Ready",LEN(RSA!C55)=0),"",MOD(E251*F251,RSA!$C$16))</f>
        <v/>
      </c>
      <c r="H251" s="1"/>
      <c r="I251" s="1">
        <v>8</v>
      </c>
      <c r="J251" s="1" t="str">
        <f>IF(OR(RSA!$C$12&lt;&gt;"Ready",LEN(RSA!C55)=0),"",INT(J250/2))</f>
        <v/>
      </c>
      <c r="K251" s="1" t="str">
        <f>IF(OR(RSA!$C$12&lt;&gt;"Ready",LEN(RSA!C55)=0),"",MOD(K250*K250,RSA!$C$16))</f>
        <v/>
      </c>
      <c r="L251" s="1" t="str">
        <f>IF(OR(RSA!$C$12&lt;&gt;"Ready",LEN(RSA!C55)=0),"",MOD(J251,2))</f>
        <v/>
      </c>
      <c r="M251" s="1" t="str">
        <f>IF(OR(RSA!$C$12&lt;&gt;"Ready",LEN(RSA!C55)=0),"",O250)</f>
        <v/>
      </c>
      <c r="N251" s="1" t="str">
        <f>IF(OR(RSA!$C$12&lt;&gt;"Ready",LEN(RSA!C55)=0),"",IF(L251=1,K251,1))</f>
        <v/>
      </c>
      <c r="O251" s="1" t="str">
        <f>IF(OR(RSA!$C$12&lt;&gt;"Ready",LEN(RSA!C55)=0),"",MOD(M251*N251,RSA!$C$16))</f>
        <v/>
      </c>
    </row>
    <row r="252" spans="1:15" ht="21.95" customHeight="1">
      <c r="A252" s="1">
        <v>9</v>
      </c>
      <c r="B252" s="1" t="str">
        <f>IF(OR(RSA!$C$12&lt;&gt;"Ready",LEN(RSA!C55)=0),"",INT(B251/2))</f>
        <v/>
      </c>
      <c r="C252" s="1" t="str">
        <f>IF(OR(RSA!$C$12&lt;&gt;"Ready",LEN(RSA!C55)=0),"",MOD(C251*C251,RSA!$C$16))</f>
        <v/>
      </c>
      <c r="D252" s="1" t="str">
        <f>IF(OR(RSA!$C$12&lt;&gt;"Ready",LEN(RSA!C55)=0),"",MOD(B252,2))</f>
        <v/>
      </c>
      <c r="E252" s="1" t="str">
        <f>IF(OR(RSA!$C$12&lt;&gt;"Ready",LEN(RSA!C55)=0),"",G251)</f>
        <v/>
      </c>
      <c r="F252" s="1" t="str">
        <f>IF(OR(RSA!$C$12&lt;&gt;"Ready",LEN(RSA!C55)=0),"",IF(D252=1,C252,1))</f>
        <v/>
      </c>
      <c r="G252" s="1" t="str">
        <f>IF(OR(RSA!$C$12&lt;&gt;"Ready",LEN(RSA!C55)=0),"",MOD(E252*F252,RSA!$C$16))</f>
        <v/>
      </c>
      <c r="H252" s="1"/>
      <c r="I252" s="1">
        <v>9</v>
      </c>
      <c r="J252" s="1" t="str">
        <f>IF(OR(RSA!$C$12&lt;&gt;"Ready",LEN(RSA!C55)=0),"",INT(J251/2))</f>
        <v/>
      </c>
      <c r="K252" s="1" t="str">
        <f>IF(OR(RSA!$C$12&lt;&gt;"Ready",LEN(RSA!C55)=0),"",MOD(K251*K251,RSA!$C$16))</f>
        <v/>
      </c>
      <c r="L252" s="1" t="str">
        <f>IF(OR(RSA!$C$12&lt;&gt;"Ready",LEN(RSA!C55)=0),"",MOD(J252,2))</f>
        <v/>
      </c>
      <c r="M252" s="1" t="str">
        <f>IF(OR(RSA!$C$12&lt;&gt;"Ready",LEN(RSA!C55)=0),"",O251)</f>
        <v/>
      </c>
      <c r="N252" s="1" t="str">
        <f>IF(OR(RSA!$C$12&lt;&gt;"Ready",LEN(RSA!C55)=0),"",IF(L252=1,K252,1))</f>
        <v/>
      </c>
      <c r="O252" s="1" t="str">
        <f>IF(OR(RSA!$C$12&lt;&gt;"Ready",LEN(RSA!C55)=0),"",MOD(M252*N252,RSA!$C$16))</f>
        <v/>
      </c>
    </row>
    <row r="253" spans="1:15" ht="21.95" customHeight="1">
      <c r="A253" s="1">
        <v>10</v>
      </c>
      <c r="B253" s="1" t="str">
        <f>IF(OR(RSA!$C$12&lt;&gt;"Ready",LEN(RSA!C55)=0),"",INT(B252/2))</f>
        <v/>
      </c>
      <c r="C253" s="1" t="str">
        <f>IF(OR(RSA!$C$12&lt;&gt;"Ready",LEN(RSA!C55)=0),"",MOD(C252*C252,RSA!$C$16))</f>
        <v/>
      </c>
      <c r="D253" s="1" t="str">
        <f>IF(OR(RSA!$C$12&lt;&gt;"Ready",LEN(RSA!C55)=0),"",MOD(B253,2))</f>
        <v/>
      </c>
      <c r="E253" s="1" t="str">
        <f>IF(OR(RSA!$C$12&lt;&gt;"Ready",LEN(RSA!C55)=0),"",G252)</f>
        <v/>
      </c>
      <c r="F253" s="1" t="str">
        <f>IF(OR(RSA!$C$12&lt;&gt;"Ready",LEN(RSA!C55)=0),"",IF(D253=1,C253,1))</f>
        <v/>
      </c>
      <c r="G253" s="1" t="str">
        <f>IF(OR(RSA!$C$12&lt;&gt;"Ready",LEN(RSA!C55)=0),"",MOD(E253*F253,RSA!$C$16))</f>
        <v/>
      </c>
      <c r="H253" s="1"/>
      <c r="I253" s="1">
        <v>10</v>
      </c>
      <c r="J253" s="1" t="str">
        <f>IF(OR(RSA!$C$12&lt;&gt;"Ready",LEN(RSA!C55)=0),"",INT(J252/2))</f>
        <v/>
      </c>
      <c r="K253" s="1" t="str">
        <f>IF(OR(RSA!$C$12&lt;&gt;"Ready",LEN(RSA!C55)=0),"",MOD(K252*K252,RSA!$C$16))</f>
        <v/>
      </c>
      <c r="L253" s="1" t="str">
        <f>IF(OR(RSA!$C$12&lt;&gt;"Ready",LEN(RSA!C55)=0),"",MOD(J253,2))</f>
        <v/>
      </c>
      <c r="M253" s="1" t="str">
        <f>IF(OR(RSA!$C$12&lt;&gt;"Ready",LEN(RSA!C55)=0),"",O252)</f>
        <v/>
      </c>
      <c r="N253" s="1" t="str">
        <f>IF(OR(RSA!$C$12&lt;&gt;"Ready",LEN(RSA!C55)=0),"",IF(L253=1,K253,1))</f>
        <v/>
      </c>
      <c r="O253" s="1" t="str">
        <f>IF(OR(RSA!$C$12&lt;&gt;"Ready",LEN(RSA!C55)=0),"",MOD(M253*N253,RSA!$C$16))</f>
        <v/>
      </c>
    </row>
    <row r="254" spans="1:15" ht="21.95" customHeight="1">
      <c r="A254" s="1">
        <v>11</v>
      </c>
      <c r="B254" s="1" t="str">
        <f>IF(OR(RSA!$C$12&lt;&gt;"Ready",LEN(RSA!C55)=0),"",INT(B253/2))</f>
        <v/>
      </c>
      <c r="C254" s="1" t="str">
        <f>IF(OR(RSA!$C$12&lt;&gt;"Ready",LEN(RSA!C55)=0),"",MOD(C253*C253,RSA!$C$16))</f>
        <v/>
      </c>
      <c r="D254" s="1" t="str">
        <f>IF(OR(RSA!$C$12&lt;&gt;"Ready",LEN(RSA!C55)=0),"",MOD(B254,2))</f>
        <v/>
      </c>
      <c r="E254" s="1" t="str">
        <f>IF(OR(RSA!$C$12&lt;&gt;"Ready",LEN(RSA!C55)=0),"",G253)</f>
        <v/>
      </c>
      <c r="F254" s="1" t="str">
        <f>IF(OR(RSA!$C$12&lt;&gt;"Ready",LEN(RSA!C55)=0),"",IF(D254=1,C254,1))</f>
        <v/>
      </c>
      <c r="G254" s="1" t="str">
        <f>IF(OR(RSA!$C$12&lt;&gt;"Ready",LEN(RSA!C55)=0),"",MOD(E254*F254,RSA!$C$16))</f>
        <v/>
      </c>
      <c r="H254" s="1"/>
      <c r="I254" s="1">
        <v>11</v>
      </c>
      <c r="J254" s="1" t="str">
        <f>IF(OR(RSA!$C$12&lt;&gt;"Ready",LEN(RSA!C55)=0),"",INT(J253/2))</f>
        <v/>
      </c>
      <c r="K254" s="1" t="str">
        <f>IF(OR(RSA!$C$12&lt;&gt;"Ready",LEN(RSA!C55)=0),"",MOD(K253*K253,RSA!$C$16))</f>
        <v/>
      </c>
      <c r="L254" s="1" t="str">
        <f>IF(OR(RSA!$C$12&lt;&gt;"Ready",LEN(RSA!C55)=0),"",MOD(J254,2))</f>
        <v/>
      </c>
      <c r="M254" s="1" t="str">
        <f>IF(OR(RSA!$C$12&lt;&gt;"Ready",LEN(RSA!C55)=0),"",O253)</f>
        <v/>
      </c>
      <c r="N254" s="1" t="str">
        <f>IF(OR(RSA!$C$12&lt;&gt;"Ready",LEN(RSA!C55)=0),"",IF(L254=1,K254,1))</f>
        <v/>
      </c>
      <c r="O254" s="1" t="str">
        <f>IF(OR(RSA!$C$12&lt;&gt;"Ready",LEN(RSA!C55)=0),"",MOD(M254*N254,RSA!$C$16))</f>
        <v/>
      </c>
    </row>
    <row r="255" spans="1:15" ht="21.95" customHeight="1">
      <c r="A255" s="1">
        <v>12</v>
      </c>
      <c r="B255" s="1" t="str">
        <f>IF(OR(RSA!$C$12&lt;&gt;"Ready",LEN(RSA!C55)=0),"",INT(B254/2))</f>
        <v/>
      </c>
      <c r="C255" s="1" t="str">
        <f>IF(OR(RSA!$C$12&lt;&gt;"Ready",LEN(RSA!C55)=0),"",MOD(C254*C254,RSA!$C$16))</f>
        <v/>
      </c>
      <c r="D255" s="1" t="str">
        <f>IF(OR(RSA!$C$12&lt;&gt;"Ready",LEN(RSA!C55)=0),"",MOD(B255,2))</f>
        <v/>
      </c>
      <c r="E255" s="1" t="str">
        <f>IF(OR(RSA!$C$12&lt;&gt;"Ready",LEN(RSA!C55)=0),"",G254)</f>
        <v/>
      </c>
      <c r="F255" s="1" t="str">
        <f>IF(OR(RSA!$C$12&lt;&gt;"Ready",LEN(RSA!C55)=0),"",IF(D255=1,C255,1))</f>
        <v/>
      </c>
      <c r="G255" s="1" t="str">
        <f>IF(OR(RSA!$C$12&lt;&gt;"Ready",LEN(RSA!C55)=0),"",MOD(E255*F255,RSA!$C$16))</f>
        <v/>
      </c>
      <c r="H255" s="1"/>
      <c r="I255" s="1">
        <v>12</v>
      </c>
      <c r="J255" s="1" t="str">
        <f>IF(OR(RSA!$C$12&lt;&gt;"Ready",LEN(RSA!C55)=0),"",INT(J254/2))</f>
        <v/>
      </c>
      <c r="K255" s="1" t="str">
        <f>IF(OR(RSA!$C$12&lt;&gt;"Ready",LEN(RSA!C55)=0),"",MOD(K254*K254,RSA!$C$16))</f>
        <v/>
      </c>
      <c r="L255" s="1" t="str">
        <f>IF(OR(RSA!$C$12&lt;&gt;"Ready",LEN(RSA!C55)=0),"",MOD(J255,2))</f>
        <v/>
      </c>
      <c r="M255" s="1" t="str">
        <f>IF(OR(RSA!$C$12&lt;&gt;"Ready",LEN(RSA!C55)=0),"",O254)</f>
        <v/>
      </c>
      <c r="N255" s="1" t="str">
        <f>IF(OR(RSA!$C$12&lt;&gt;"Ready",LEN(RSA!C55)=0),"",IF(L255=1,K255,1))</f>
        <v/>
      </c>
      <c r="O255" s="1" t="str">
        <f>IF(OR(RSA!$C$12&lt;&gt;"Ready",LEN(RSA!C55)=0),"",MOD(M255*N255,RSA!$C$16))</f>
        <v/>
      </c>
    </row>
    <row r="256" spans="1:15" ht="21.95" customHeight="1">
      <c r="A256" s="1">
        <v>13</v>
      </c>
      <c r="B256" s="1" t="str">
        <f>IF(OR(RSA!$C$12&lt;&gt;"Ready",LEN(RSA!C55)=0),"",INT(B255/2))</f>
        <v/>
      </c>
      <c r="C256" s="1" t="str">
        <f>IF(OR(RSA!$C$12&lt;&gt;"Ready",LEN(RSA!C55)=0),"",MOD(C255*C255,RSA!$C$16))</f>
        <v/>
      </c>
      <c r="D256" s="1" t="str">
        <f>IF(OR(RSA!$C$12&lt;&gt;"Ready",LEN(RSA!C55)=0),"",MOD(B256,2))</f>
        <v/>
      </c>
      <c r="E256" s="1" t="str">
        <f>IF(OR(RSA!$C$12&lt;&gt;"Ready",LEN(RSA!C55)=0),"",G255)</f>
        <v/>
      </c>
      <c r="F256" s="1" t="str">
        <f>IF(OR(RSA!$C$12&lt;&gt;"Ready",LEN(RSA!C55)=0),"",IF(D256=1,C256,1))</f>
        <v/>
      </c>
      <c r="G256" s="1" t="str">
        <f>IF(OR(RSA!$C$12&lt;&gt;"Ready",LEN(RSA!C55)=0),"",MOD(E256*F256,RSA!$C$16))</f>
        <v/>
      </c>
      <c r="H256" s="1"/>
      <c r="I256" s="1">
        <v>13</v>
      </c>
      <c r="J256" s="1" t="str">
        <f>IF(OR(RSA!$C$12&lt;&gt;"Ready",LEN(RSA!C55)=0),"",INT(J255/2))</f>
        <v/>
      </c>
      <c r="K256" s="1" t="str">
        <f>IF(OR(RSA!$C$12&lt;&gt;"Ready",LEN(RSA!C55)=0),"",MOD(K255*K255,RSA!$C$16))</f>
        <v/>
      </c>
      <c r="L256" s="1" t="str">
        <f>IF(OR(RSA!$C$12&lt;&gt;"Ready",LEN(RSA!C55)=0),"",MOD(J256,2))</f>
        <v/>
      </c>
      <c r="M256" s="1" t="str">
        <f>IF(OR(RSA!$C$12&lt;&gt;"Ready",LEN(RSA!C55)=0),"",O255)</f>
        <v/>
      </c>
      <c r="N256" s="1" t="str">
        <f>IF(OR(RSA!$C$12&lt;&gt;"Ready",LEN(RSA!C55)=0),"",IF(L256=1,K256,1))</f>
        <v/>
      </c>
      <c r="O256" s="1" t="str">
        <f>IF(OR(RSA!$C$12&lt;&gt;"Ready",LEN(RSA!C55)=0),"",MOD(M256*N256,RSA!$C$16))</f>
        <v/>
      </c>
    </row>
    <row r="257" spans="1:15" ht="21.95" customHeight="1">
      <c r="A257" s="1">
        <v>14</v>
      </c>
      <c r="B257" s="1" t="str">
        <f>IF(OR(RSA!$C$12&lt;&gt;"Ready",LEN(RSA!C55)=0),"",INT(B256/2))</f>
        <v/>
      </c>
      <c r="C257" s="1" t="str">
        <f>IF(OR(RSA!$C$12&lt;&gt;"Ready",LEN(RSA!C55)=0),"",MOD(C256*C256,RSA!$C$16))</f>
        <v/>
      </c>
      <c r="D257" s="1" t="str">
        <f>IF(OR(RSA!$C$12&lt;&gt;"Ready",LEN(RSA!C55)=0),"",MOD(B257,2))</f>
        <v/>
      </c>
      <c r="E257" s="1" t="str">
        <f>IF(OR(RSA!$C$12&lt;&gt;"Ready",LEN(RSA!C55)=0),"",G256)</f>
        <v/>
      </c>
      <c r="F257" s="1" t="str">
        <f>IF(OR(RSA!$C$12&lt;&gt;"Ready",LEN(RSA!C55)=0),"",IF(D257=1,C257,1))</f>
        <v/>
      </c>
      <c r="G257" s="12" t="str">
        <f>IF(OR(RSA!$C$12&lt;&gt;"Ready",LEN(RSA!C55)=0),"",MOD(E257*F257,RSA!$C$16))</f>
        <v/>
      </c>
      <c r="H257" s="1"/>
      <c r="I257" s="1">
        <v>14</v>
      </c>
      <c r="J257" s="1" t="str">
        <f>IF(OR(RSA!$C$12&lt;&gt;"Ready",LEN(RSA!C55)=0),"",INT(J256/2))</f>
        <v/>
      </c>
      <c r="K257" s="1" t="str">
        <f>IF(OR(RSA!$C$12&lt;&gt;"Ready",LEN(RSA!C55)=0),"",MOD(K256*K256,RSA!$C$16))</f>
        <v/>
      </c>
      <c r="L257" s="1" t="str">
        <f>IF(OR(RSA!$C$12&lt;&gt;"Ready",LEN(RSA!C55)=0),"",MOD(J257,2))</f>
        <v/>
      </c>
      <c r="M257" s="1" t="str">
        <f>IF(OR(RSA!$C$12&lt;&gt;"Ready",LEN(RSA!C55)=0),"",O256)</f>
        <v/>
      </c>
      <c r="N257" s="1" t="str">
        <f>IF(OR(RSA!$C$12&lt;&gt;"Ready",LEN(RSA!C55)=0),"",IF(L257=1,K257,1))</f>
        <v/>
      </c>
      <c r="O257" s="12" t="str">
        <f>IF(OR(RSA!$C$12&lt;&gt;"Ready",LEN(RSA!C55)=0),"",MOD(M257*N257,RSA!$C$16))</f>
        <v/>
      </c>
    </row>
    <row r="258" spans="1:15" ht="21.9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21.9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21.95" customHeight="1">
      <c r="A260" s="1" t="s">
        <v>110</v>
      </c>
      <c r="B260" s="1"/>
      <c r="C260" s="1"/>
      <c r="D260" s="1"/>
      <c r="E260" s="1"/>
      <c r="F260" s="1"/>
      <c r="G260" s="1"/>
      <c r="H260" s="1"/>
      <c r="I260" s="1" t="s">
        <v>111</v>
      </c>
      <c r="J260" s="1"/>
      <c r="K260" s="1"/>
      <c r="L260" s="1"/>
      <c r="M260" s="1"/>
      <c r="N260" s="1"/>
      <c r="O260" s="1"/>
    </row>
    <row r="261" spans="1:15" ht="32.1" customHeight="1">
      <c r="A261" s="4" t="s">
        <v>77</v>
      </c>
      <c r="B261" s="4" t="s">
        <v>78</v>
      </c>
      <c r="C261" s="4" t="s">
        <v>79</v>
      </c>
      <c r="D261" s="4" t="s">
        <v>80</v>
      </c>
      <c r="E261" s="4" t="s">
        <v>81</v>
      </c>
      <c r="F261" s="4" t="s">
        <v>82</v>
      </c>
      <c r="G261" s="4" t="s">
        <v>83</v>
      </c>
      <c r="H261" s="1"/>
      <c r="I261" s="4" t="s">
        <v>77</v>
      </c>
      <c r="J261" s="4" t="s">
        <v>78</v>
      </c>
      <c r="K261" s="4" t="s">
        <v>79</v>
      </c>
      <c r="L261" s="4" t="s">
        <v>80</v>
      </c>
      <c r="M261" s="4" t="s">
        <v>81</v>
      </c>
      <c r="N261" s="4" t="s">
        <v>82</v>
      </c>
      <c r="O261" s="4" t="s">
        <v>83</v>
      </c>
    </row>
    <row r="262" spans="1:15" ht="21.95" customHeight="1">
      <c r="A262" s="1">
        <v>1</v>
      </c>
      <c r="B262" s="1" t="str">
        <f>IF(OR(RSA!$C$12&lt;&gt;"Ready",LEN(RSA!C56)=0),"",RSA!$C$18)</f>
        <v/>
      </c>
      <c r="C262" s="1" t="str">
        <f>IF(OR(RSA!$C$12&lt;&gt;"Ready",LEN(RSA!C56)=0),"",RSA!D56)</f>
        <v/>
      </c>
      <c r="D262" s="1" t="str">
        <f>IF(OR(RSA!$C$12&lt;&gt;"Ready",LEN(RSA!C56)=0),"",MOD(B262,2))</f>
        <v/>
      </c>
      <c r="E262" s="1" t="str">
        <f>IF(OR(RSA!$C$12&lt;&gt;"Ready",LEN(RSA!C56)=0),"",1)</f>
        <v/>
      </c>
      <c r="F262" s="1" t="str">
        <f>IF(OR(RSA!$C$12&lt;&gt;"Ready",LEN(RSA!C56)=0),"",IF(D262=1,C262,1))</f>
        <v/>
      </c>
      <c r="G262" s="1" t="str">
        <f>IF(OR(RSA!$C$12&lt;&gt;"Ready",LEN(RSA!C56)=0),"",MOD(E262*F262,RSA!$C$16))</f>
        <v/>
      </c>
      <c r="H262" s="1"/>
      <c r="I262" s="1">
        <v>1</v>
      </c>
      <c r="J262" s="1" t="str">
        <f>IF(OR(RSA!$C$12&lt;&gt;"Ready",LEN(RSA!C56)=0),"",RSA!$C$19)</f>
        <v/>
      </c>
      <c r="K262" s="1" t="str">
        <f>IF(OR(RSA!$C$12&lt;&gt;"Ready",LEN(RSA!C56)=0),"",RSA!F56)</f>
        <v/>
      </c>
      <c r="L262" s="1" t="str">
        <f>IF(OR(RSA!$C$12&lt;&gt;"Ready",LEN(RSA!C56)=0),"",MOD(J262,2))</f>
        <v/>
      </c>
      <c r="M262" s="1" t="str">
        <f>IF(OR(RSA!$C$12&lt;&gt;"Ready",LEN(RSA!C56)=0),"",1)</f>
        <v/>
      </c>
      <c r="N262" s="1" t="str">
        <f>IF(OR(RSA!$C$12&lt;&gt;"Ready",LEN(RSA!C56)=0),"",IF(L262=1,K262,1))</f>
        <v/>
      </c>
      <c r="O262" s="1" t="str">
        <f>IF(OR(RSA!$C$12&lt;&gt;"Ready",LEN(RSA!C56)=0),"",MOD(M262*N262,RSA!$C$16))</f>
        <v/>
      </c>
    </row>
    <row r="263" spans="1:15" ht="21.95" customHeight="1">
      <c r="A263" s="1">
        <v>2</v>
      </c>
      <c r="B263" s="1" t="str">
        <f>IF(OR(RSA!$C$12&lt;&gt;"Ready",LEN(RSA!C56)=0),"",INT(B262/2))</f>
        <v/>
      </c>
      <c r="C263" s="1" t="str">
        <f>IF(OR(RSA!$C$12&lt;&gt;"Ready",LEN(RSA!C56)=0),"",MOD(C262*C262,RSA!$C$16))</f>
        <v/>
      </c>
      <c r="D263" s="1" t="str">
        <f>IF(OR(RSA!$C$12&lt;&gt;"Ready",LEN(RSA!C56)=0),"",MOD(B263,2))</f>
        <v/>
      </c>
      <c r="E263" s="1" t="str">
        <f>IF(OR(RSA!$C$12&lt;&gt;"Ready",LEN(RSA!C56)=0),"",G262)</f>
        <v/>
      </c>
      <c r="F263" s="1" t="str">
        <f>IF(OR(RSA!$C$12&lt;&gt;"Ready",LEN(RSA!C56)=0),"",IF(D263=1,C263,1))</f>
        <v/>
      </c>
      <c r="G263" s="1" t="str">
        <f>IF(OR(RSA!$C$12&lt;&gt;"Ready",LEN(RSA!C56)=0),"",MOD(E263*F263,RSA!$C$16))</f>
        <v/>
      </c>
      <c r="H263" s="1"/>
      <c r="I263" s="1">
        <v>2</v>
      </c>
      <c r="J263" s="1" t="str">
        <f>IF(OR(RSA!$C$12&lt;&gt;"Ready",LEN(RSA!C56)=0),"",INT(J262/2))</f>
        <v/>
      </c>
      <c r="K263" s="1" t="str">
        <f>IF(OR(RSA!$C$12&lt;&gt;"Ready",LEN(RSA!C56)=0),"",MOD(K262*K262,RSA!$C$16))</f>
        <v/>
      </c>
      <c r="L263" s="1" t="str">
        <f>IF(OR(RSA!$C$12&lt;&gt;"Ready",LEN(RSA!C56)=0),"",MOD(J263,2))</f>
        <v/>
      </c>
      <c r="M263" s="1" t="str">
        <f>IF(OR(RSA!$C$12&lt;&gt;"Ready",LEN(RSA!C56)=0),"",O262)</f>
        <v/>
      </c>
      <c r="N263" s="1" t="str">
        <f>IF(OR(RSA!$C$12&lt;&gt;"Ready",LEN(RSA!C56)=0),"",IF(L263=1,K263,1))</f>
        <v/>
      </c>
      <c r="O263" s="1" t="str">
        <f>IF(OR(RSA!$C$12&lt;&gt;"Ready",LEN(RSA!C56)=0),"",MOD(M263*N263,RSA!$C$16))</f>
        <v/>
      </c>
    </row>
    <row r="264" spans="1:15" ht="21.95" customHeight="1">
      <c r="A264" s="1">
        <v>3</v>
      </c>
      <c r="B264" s="1" t="str">
        <f>IF(OR(RSA!$C$12&lt;&gt;"Ready",LEN(RSA!C56)=0),"",INT(B263/2))</f>
        <v/>
      </c>
      <c r="C264" s="1" t="str">
        <f>IF(OR(RSA!$C$12&lt;&gt;"Ready",LEN(RSA!C56)=0),"",MOD(C263*C263,RSA!$C$16))</f>
        <v/>
      </c>
      <c r="D264" s="1" t="str">
        <f>IF(OR(RSA!$C$12&lt;&gt;"Ready",LEN(RSA!C56)=0),"",MOD(B264,2))</f>
        <v/>
      </c>
      <c r="E264" s="1" t="str">
        <f>IF(OR(RSA!$C$12&lt;&gt;"Ready",LEN(RSA!C56)=0),"",G263)</f>
        <v/>
      </c>
      <c r="F264" s="1" t="str">
        <f>IF(OR(RSA!$C$12&lt;&gt;"Ready",LEN(RSA!C56)=0),"",IF(D264=1,C264,1))</f>
        <v/>
      </c>
      <c r="G264" s="1" t="str">
        <f>IF(OR(RSA!$C$12&lt;&gt;"Ready",LEN(RSA!C56)=0),"",MOD(E264*F264,RSA!$C$16))</f>
        <v/>
      </c>
      <c r="H264" s="1"/>
      <c r="I264" s="1">
        <v>3</v>
      </c>
      <c r="J264" s="1" t="str">
        <f>IF(OR(RSA!$C$12&lt;&gt;"Ready",LEN(RSA!C56)=0),"",INT(J263/2))</f>
        <v/>
      </c>
      <c r="K264" s="1" t="str">
        <f>IF(OR(RSA!$C$12&lt;&gt;"Ready",LEN(RSA!C56)=0),"",MOD(K263*K263,RSA!$C$16))</f>
        <v/>
      </c>
      <c r="L264" s="1" t="str">
        <f>IF(OR(RSA!$C$12&lt;&gt;"Ready",LEN(RSA!C56)=0),"",MOD(J264,2))</f>
        <v/>
      </c>
      <c r="M264" s="1" t="str">
        <f>IF(OR(RSA!$C$12&lt;&gt;"Ready",LEN(RSA!C56)=0),"",O263)</f>
        <v/>
      </c>
      <c r="N264" s="1" t="str">
        <f>IF(OR(RSA!$C$12&lt;&gt;"Ready",LEN(RSA!C56)=0),"",IF(L264=1,K264,1))</f>
        <v/>
      </c>
      <c r="O264" s="1" t="str">
        <f>IF(OR(RSA!$C$12&lt;&gt;"Ready",LEN(RSA!C56)=0),"",MOD(M264*N264,RSA!$C$16))</f>
        <v/>
      </c>
    </row>
    <row r="265" spans="1:15" ht="21.95" customHeight="1">
      <c r="A265" s="1">
        <v>4</v>
      </c>
      <c r="B265" s="1" t="str">
        <f>IF(OR(RSA!$C$12&lt;&gt;"Ready",LEN(RSA!C56)=0),"",INT(B264/2))</f>
        <v/>
      </c>
      <c r="C265" s="1" t="str">
        <f>IF(OR(RSA!$C$12&lt;&gt;"Ready",LEN(RSA!C56)=0),"",MOD(C264*C264,RSA!$C$16))</f>
        <v/>
      </c>
      <c r="D265" s="1" t="str">
        <f>IF(OR(RSA!$C$12&lt;&gt;"Ready",LEN(RSA!C56)=0),"",MOD(B265,2))</f>
        <v/>
      </c>
      <c r="E265" s="1" t="str">
        <f>IF(OR(RSA!$C$12&lt;&gt;"Ready",LEN(RSA!C56)=0),"",G264)</f>
        <v/>
      </c>
      <c r="F265" s="1" t="str">
        <f>IF(OR(RSA!$C$12&lt;&gt;"Ready",LEN(RSA!C56)=0),"",IF(D265=1,C265,1))</f>
        <v/>
      </c>
      <c r="G265" s="1" t="str">
        <f>IF(OR(RSA!$C$12&lt;&gt;"Ready",LEN(RSA!C56)=0),"",MOD(E265*F265,RSA!$C$16))</f>
        <v/>
      </c>
      <c r="H265" s="1"/>
      <c r="I265" s="1">
        <v>4</v>
      </c>
      <c r="J265" s="1" t="str">
        <f>IF(OR(RSA!$C$12&lt;&gt;"Ready",LEN(RSA!C56)=0),"",INT(J264/2))</f>
        <v/>
      </c>
      <c r="K265" s="1" t="str">
        <f>IF(OR(RSA!$C$12&lt;&gt;"Ready",LEN(RSA!C56)=0),"",MOD(K264*K264,RSA!$C$16))</f>
        <v/>
      </c>
      <c r="L265" s="1" t="str">
        <f>IF(OR(RSA!$C$12&lt;&gt;"Ready",LEN(RSA!C56)=0),"",MOD(J265,2))</f>
        <v/>
      </c>
      <c r="M265" s="1" t="str">
        <f>IF(OR(RSA!$C$12&lt;&gt;"Ready",LEN(RSA!C56)=0),"",O264)</f>
        <v/>
      </c>
      <c r="N265" s="1" t="str">
        <f>IF(OR(RSA!$C$12&lt;&gt;"Ready",LEN(RSA!C56)=0),"",IF(L265=1,K265,1))</f>
        <v/>
      </c>
      <c r="O265" s="1" t="str">
        <f>IF(OR(RSA!$C$12&lt;&gt;"Ready",LEN(RSA!C56)=0),"",MOD(M265*N265,RSA!$C$16))</f>
        <v/>
      </c>
    </row>
    <row r="266" spans="1:15" ht="21.95" customHeight="1">
      <c r="A266" s="1">
        <v>5</v>
      </c>
      <c r="B266" s="1" t="str">
        <f>IF(OR(RSA!$C$12&lt;&gt;"Ready",LEN(RSA!C56)=0),"",INT(B265/2))</f>
        <v/>
      </c>
      <c r="C266" s="1" t="str">
        <f>IF(OR(RSA!$C$12&lt;&gt;"Ready",LEN(RSA!C56)=0),"",MOD(C265*C265,RSA!$C$16))</f>
        <v/>
      </c>
      <c r="D266" s="1" t="str">
        <f>IF(OR(RSA!$C$12&lt;&gt;"Ready",LEN(RSA!C56)=0),"",MOD(B266,2))</f>
        <v/>
      </c>
      <c r="E266" s="1" t="str">
        <f>IF(OR(RSA!$C$12&lt;&gt;"Ready",LEN(RSA!C56)=0),"",G265)</f>
        <v/>
      </c>
      <c r="F266" s="1" t="str">
        <f>IF(OR(RSA!$C$12&lt;&gt;"Ready",LEN(RSA!C56)=0),"",IF(D266=1,C266,1))</f>
        <v/>
      </c>
      <c r="G266" s="1" t="str">
        <f>IF(OR(RSA!$C$12&lt;&gt;"Ready",LEN(RSA!C56)=0),"",MOD(E266*F266,RSA!$C$16))</f>
        <v/>
      </c>
      <c r="H266" s="1"/>
      <c r="I266" s="1">
        <v>5</v>
      </c>
      <c r="J266" s="1" t="str">
        <f>IF(OR(RSA!$C$12&lt;&gt;"Ready",LEN(RSA!C56)=0),"",INT(J265/2))</f>
        <v/>
      </c>
      <c r="K266" s="1" t="str">
        <f>IF(OR(RSA!$C$12&lt;&gt;"Ready",LEN(RSA!C56)=0),"",MOD(K265*K265,RSA!$C$16))</f>
        <v/>
      </c>
      <c r="L266" s="1" t="str">
        <f>IF(OR(RSA!$C$12&lt;&gt;"Ready",LEN(RSA!C56)=0),"",MOD(J266,2))</f>
        <v/>
      </c>
      <c r="M266" s="1" t="str">
        <f>IF(OR(RSA!$C$12&lt;&gt;"Ready",LEN(RSA!C56)=0),"",O265)</f>
        <v/>
      </c>
      <c r="N266" s="1" t="str">
        <f>IF(OR(RSA!$C$12&lt;&gt;"Ready",LEN(RSA!C56)=0),"",IF(L266=1,K266,1))</f>
        <v/>
      </c>
      <c r="O266" s="1" t="str">
        <f>IF(OR(RSA!$C$12&lt;&gt;"Ready",LEN(RSA!C56)=0),"",MOD(M266*N266,RSA!$C$16))</f>
        <v/>
      </c>
    </row>
    <row r="267" spans="1:15" ht="21.95" customHeight="1">
      <c r="A267" s="1">
        <v>6</v>
      </c>
      <c r="B267" s="1" t="str">
        <f>IF(OR(RSA!$C$12&lt;&gt;"Ready",LEN(RSA!C56)=0),"",INT(B266/2))</f>
        <v/>
      </c>
      <c r="C267" s="1" t="str">
        <f>IF(OR(RSA!$C$12&lt;&gt;"Ready",LEN(RSA!C56)=0),"",MOD(C266*C266,RSA!$C$16))</f>
        <v/>
      </c>
      <c r="D267" s="1" t="str">
        <f>IF(OR(RSA!$C$12&lt;&gt;"Ready",LEN(RSA!C56)=0),"",MOD(B267,2))</f>
        <v/>
      </c>
      <c r="E267" s="1" t="str">
        <f>IF(OR(RSA!$C$12&lt;&gt;"Ready",LEN(RSA!C56)=0),"",G266)</f>
        <v/>
      </c>
      <c r="F267" s="1" t="str">
        <f>IF(OR(RSA!$C$12&lt;&gt;"Ready",LEN(RSA!C56)=0),"",IF(D267=1,C267,1))</f>
        <v/>
      </c>
      <c r="G267" s="1" t="str">
        <f>IF(OR(RSA!$C$12&lt;&gt;"Ready",LEN(RSA!C56)=0),"",MOD(E267*F267,RSA!$C$16))</f>
        <v/>
      </c>
      <c r="H267" s="1"/>
      <c r="I267" s="1">
        <v>6</v>
      </c>
      <c r="J267" s="1" t="str">
        <f>IF(OR(RSA!$C$12&lt;&gt;"Ready",LEN(RSA!C56)=0),"",INT(J266/2))</f>
        <v/>
      </c>
      <c r="K267" s="1" t="str">
        <f>IF(OR(RSA!$C$12&lt;&gt;"Ready",LEN(RSA!C56)=0),"",MOD(K266*K266,RSA!$C$16))</f>
        <v/>
      </c>
      <c r="L267" s="1" t="str">
        <f>IF(OR(RSA!$C$12&lt;&gt;"Ready",LEN(RSA!C56)=0),"",MOD(J267,2))</f>
        <v/>
      </c>
      <c r="M267" s="1" t="str">
        <f>IF(OR(RSA!$C$12&lt;&gt;"Ready",LEN(RSA!C56)=0),"",O266)</f>
        <v/>
      </c>
      <c r="N267" s="1" t="str">
        <f>IF(OR(RSA!$C$12&lt;&gt;"Ready",LEN(RSA!C56)=0),"",IF(L267=1,K267,1))</f>
        <v/>
      </c>
      <c r="O267" s="1" t="str">
        <f>IF(OR(RSA!$C$12&lt;&gt;"Ready",LEN(RSA!C56)=0),"",MOD(M267*N267,RSA!$C$16))</f>
        <v/>
      </c>
    </row>
    <row r="268" spans="1:15" ht="21.95" customHeight="1">
      <c r="A268" s="1">
        <v>7</v>
      </c>
      <c r="B268" s="1" t="str">
        <f>IF(OR(RSA!$C$12&lt;&gt;"Ready",LEN(RSA!C56)=0),"",INT(B267/2))</f>
        <v/>
      </c>
      <c r="C268" s="1" t="str">
        <f>IF(OR(RSA!$C$12&lt;&gt;"Ready",LEN(RSA!C56)=0),"",MOD(C267*C267,RSA!$C$16))</f>
        <v/>
      </c>
      <c r="D268" s="1" t="str">
        <f>IF(OR(RSA!$C$12&lt;&gt;"Ready",LEN(RSA!C56)=0),"",MOD(B268,2))</f>
        <v/>
      </c>
      <c r="E268" s="1" t="str">
        <f>IF(OR(RSA!$C$12&lt;&gt;"Ready",LEN(RSA!C56)=0),"",G267)</f>
        <v/>
      </c>
      <c r="F268" s="1" t="str">
        <f>IF(OR(RSA!$C$12&lt;&gt;"Ready",LEN(RSA!C56)=0),"",IF(D268=1,C268,1))</f>
        <v/>
      </c>
      <c r="G268" s="1" t="str">
        <f>IF(OR(RSA!$C$12&lt;&gt;"Ready",LEN(RSA!C56)=0),"",MOD(E268*F268,RSA!$C$16))</f>
        <v/>
      </c>
      <c r="H268" s="1"/>
      <c r="I268" s="1">
        <v>7</v>
      </c>
      <c r="J268" s="1" t="str">
        <f>IF(OR(RSA!$C$12&lt;&gt;"Ready",LEN(RSA!C56)=0),"",INT(J267/2))</f>
        <v/>
      </c>
      <c r="K268" s="1" t="str">
        <f>IF(OR(RSA!$C$12&lt;&gt;"Ready",LEN(RSA!C56)=0),"",MOD(K267*K267,RSA!$C$16))</f>
        <v/>
      </c>
      <c r="L268" s="1" t="str">
        <f>IF(OR(RSA!$C$12&lt;&gt;"Ready",LEN(RSA!C56)=0),"",MOD(J268,2))</f>
        <v/>
      </c>
      <c r="M268" s="1" t="str">
        <f>IF(OR(RSA!$C$12&lt;&gt;"Ready",LEN(RSA!C56)=0),"",O267)</f>
        <v/>
      </c>
      <c r="N268" s="1" t="str">
        <f>IF(OR(RSA!$C$12&lt;&gt;"Ready",LEN(RSA!C56)=0),"",IF(L268=1,K268,1))</f>
        <v/>
      </c>
      <c r="O268" s="1" t="str">
        <f>IF(OR(RSA!$C$12&lt;&gt;"Ready",LEN(RSA!C56)=0),"",MOD(M268*N268,RSA!$C$16))</f>
        <v/>
      </c>
    </row>
    <row r="269" spans="1:15" ht="21.95" customHeight="1">
      <c r="A269" s="1">
        <v>8</v>
      </c>
      <c r="B269" s="1" t="str">
        <f>IF(OR(RSA!$C$12&lt;&gt;"Ready",LEN(RSA!C56)=0),"",INT(B268/2))</f>
        <v/>
      </c>
      <c r="C269" s="1" t="str">
        <f>IF(OR(RSA!$C$12&lt;&gt;"Ready",LEN(RSA!C56)=0),"",MOD(C268*C268,RSA!$C$16))</f>
        <v/>
      </c>
      <c r="D269" s="1" t="str">
        <f>IF(OR(RSA!$C$12&lt;&gt;"Ready",LEN(RSA!C56)=0),"",MOD(B269,2))</f>
        <v/>
      </c>
      <c r="E269" s="1" t="str">
        <f>IF(OR(RSA!$C$12&lt;&gt;"Ready",LEN(RSA!C56)=0),"",G268)</f>
        <v/>
      </c>
      <c r="F269" s="1" t="str">
        <f>IF(OR(RSA!$C$12&lt;&gt;"Ready",LEN(RSA!C56)=0),"",IF(D269=1,C269,1))</f>
        <v/>
      </c>
      <c r="G269" s="1" t="str">
        <f>IF(OR(RSA!$C$12&lt;&gt;"Ready",LEN(RSA!C56)=0),"",MOD(E269*F269,RSA!$C$16))</f>
        <v/>
      </c>
      <c r="H269" s="1"/>
      <c r="I269" s="1">
        <v>8</v>
      </c>
      <c r="J269" s="1" t="str">
        <f>IF(OR(RSA!$C$12&lt;&gt;"Ready",LEN(RSA!C56)=0),"",INT(J268/2))</f>
        <v/>
      </c>
      <c r="K269" s="1" t="str">
        <f>IF(OR(RSA!$C$12&lt;&gt;"Ready",LEN(RSA!C56)=0),"",MOD(K268*K268,RSA!$C$16))</f>
        <v/>
      </c>
      <c r="L269" s="1" t="str">
        <f>IF(OR(RSA!$C$12&lt;&gt;"Ready",LEN(RSA!C56)=0),"",MOD(J269,2))</f>
        <v/>
      </c>
      <c r="M269" s="1" t="str">
        <f>IF(OR(RSA!$C$12&lt;&gt;"Ready",LEN(RSA!C56)=0),"",O268)</f>
        <v/>
      </c>
      <c r="N269" s="1" t="str">
        <f>IF(OR(RSA!$C$12&lt;&gt;"Ready",LEN(RSA!C56)=0),"",IF(L269=1,K269,1))</f>
        <v/>
      </c>
      <c r="O269" s="1" t="str">
        <f>IF(OR(RSA!$C$12&lt;&gt;"Ready",LEN(RSA!C56)=0),"",MOD(M269*N269,RSA!$C$16))</f>
        <v/>
      </c>
    </row>
    <row r="270" spans="1:15" ht="21.95" customHeight="1">
      <c r="A270" s="1">
        <v>9</v>
      </c>
      <c r="B270" s="1" t="str">
        <f>IF(OR(RSA!$C$12&lt;&gt;"Ready",LEN(RSA!C56)=0),"",INT(B269/2))</f>
        <v/>
      </c>
      <c r="C270" s="1" t="str">
        <f>IF(OR(RSA!$C$12&lt;&gt;"Ready",LEN(RSA!C56)=0),"",MOD(C269*C269,RSA!$C$16))</f>
        <v/>
      </c>
      <c r="D270" s="1" t="str">
        <f>IF(OR(RSA!$C$12&lt;&gt;"Ready",LEN(RSA!C56)=0),"",MOD(B270,2))</f>
        <v/>
      </c>
      <c r="E270" s="1" t="str">
        <f>IF(OR(RSA!$C$12&lt;&gt;"Ready",LEN(RSA!C56)=0),"",G269)</f>
        <v/>
      </c>
      <c r="F270" s="1" t="str">
        <f>IF(OR(RSA!$C$12&lt;&gt;"Ready",LEN(RSA!C56)=0),"",IF(D270=1,C270,1))</f>
        <v/>
      </c>
      <c r="G270" s="1" t="str">
        <f>IF(OR(RSA!$C$12&lt;&gt;"Ready",LEN(RSA!C56)=0),"",MOD(E270*F270,RSA!$C$16))</f>
        <v/>
      </c>
      <c r="H270" s="1"/>
      <c r="I270" s="1">
        <v>9</v>
      </c>
      <c r="J270" s="1" t="str">
        <f>IF(OR(RSA!$C$12&lt;&gt;"Ready",LEN(RSA!C56)=0),"",INT(J269/2))</f>
        <v/>
      </c>
      <c r="K270" s="1" t="str">
        <f>IF(OR(RSA!$C$12&lt;&gt;"Ready",LEN(RSA!C56)=0),"",MOD(K269*K269,RSA!$C$16))</f>
        <v/>
      </c>
      <c r="L270" s="1" t="str">
        <f>IF(OR(RSA!$C$12&lt;&gt;"Ready",LEN(RSA!C56)=0),"",MOD(J270,2))</f>
        <v/>
      </c>
      <c r="M270" s="1" t="str">
        <f>IF(OR(RSA!$C$12&lt;&gt;"Ready",LEN(RSA!C56)=0),"",O269)</f>
        <v/>
      </c>
      <c r="N270" s="1" t="str">
        <f>IF(OR(RSA!$C$12&lt;&gt;"Ready",LEN(RSA!C56)=0),"",IF(L270=1,K270,1))</f>
        <v/>
      </c>
      <c r="O270" s="1" t="str">
        <f>IF(OR(RSA!$C$12&lt;&gt;"Ready",LEN(RSA!C56)=0),"",MOD(M270*N270,RSA!$C$16))</f>
        <v/>
      </c>
    </row>
    <row r="271" spans="1:15" ht="21.95" customHeight="1">
      <c r="A271" s="1">
        <v>10</v>
      </c>
      <c r="B271" s="1" t="str">
        <f>IF(OR(RSA!$C$12&lt;&gt;"Ready",LEN(RSA!C56)=0),"",INT(B270/2))</f>
        <v/>
      </c>
      <c r="C271" s="1" t="str">
        <f>IF(OR(RSA!$C$12&lt;&gt;"Ready",LEN(RSA!C56)=0),"",MOD(C270*C270,RSA!$C$16))</f>
        <v/>
      </c>
      <c r="D271" s="1" t="str">
        <f>IF(OR(RSA!$C$12&lt;&gt;"Ready",LEN(RSA!C56)=0),"",MOD(B271,2))</f>
        <v/>
      </c>
      <c r="E271" s="1" t="str">
        <f>IF(OR(RSA!$C$12&lt;&gt;"Ready",LEN(RSA!C56)=0),"",G270)</f>
        <v/>
      </c>
      <c r="F271" s="1" t="str">
        <f>IF(OR(RSA!$C$12&lt;&gt;"Ready",LEN(RSA!C56)=0),"",IF(D271=1,C271,1))</f>
        <v/>
      </c>
      <c r="G271" s="1" t="str">
        <f>IF(OR(RSA!$C$12&lt;&gt;"Ready",LEN(RSA!C56)=0),"",MOD(E271*F271,RSA!$C$16))</f>
        <v/>
      </c>
      <c r="H271" s="1"/>
      <c r="I271" s="1">
        <v>10</v>
      </c>
      <c r="J271" s="1" t="str">
        <f>IF(OR(RSA!$C$12&lt;&gt;"Ready",LEN(RSA!C56)=0),"",INT(J270/2))</f>
        <v/>
      </c>
      <c r="K271" s="1" t="str">
        <f>IF(OR(RSA!$C$12&lt;&gt;"Ready",LEN(RSA!C56)=0),"",MOD(K270*K270,RSA!$C$16))</f>
        <v/>
      </c>
      <c r="L271" s="1" t="str">
        <f>IF(OR(RSA!$C$12&lt;&gt;"Ready",LEN(RSA!C56)=0),"",MOD(J271,2))</f>
        <v/>
      </c>
      <c r="M271" s="1" t="str">
        <f>IF(OR(RSA!$C$12&lt;&gt;"Ready",LEN(RSA!C56)=0),"",O270)</f>
        <v/>
      </c>
      <c r="N271" s="1" t="str">
        <f>IF(OR(RSA!$C$12&lt;&gt;"Ready",LEN(RSA!C56)=0),"",IF(L271=1,K271,1))</f>
        <v/>
      </c>
      <c r="O271" s="1" t="str">
        <f>IF(OR(RSA!$C$12&lt;&gt;"Ready",LEN(RSA!C56)=0),"",MOD(M271*N271,RSA!$C$16))</f>
        <v/>
      </c>
    </row>
    <row r="272" spans="1:15" ht="21.95" customHeight="1">
      <c r="A272" s="1">
        <v>11</v>
      </c>
      <c r="B272" s="1" t="str">
        <f>IF(OR(RSA!$C$12&lt;&gt;"Ready",LEN(RSA!C56)=0),"",INT(B271/2))</f>
        <v/>
      </c>
      <c r="C272" s="1" t="str">
        <f>IF(OR(RSA!$C$12&lt;&gt;"Ready",LEN(RSA!C56)=0),"",MOD(C271*C271,RSA!$C$16))</f>
        <v/>
      </c>
      <c r="D272" s="1" t="str">
        <f>IF(OR(RSA!$C$12&lt;&gt;"Ready",LEN(RSA!C56)=0),"",MOD(B272,2))</f>
        <v/>
      </c>
      <c r="E272" s="1" t="str">
        <f>IF(OR(RSA!$C$12&lt;&gt;"Ready",LEN(RSA!C56)=0),"",G271)</f>
        <v/>
      </c>
      <c r="F272" s="1" t="str">
        <f>IF(OR(RSA!$C$12&lt;&gt;"Ready",LEN(RSA!C56)=0),"",IF(D272=1,C272,1))</f>
        <v/>
      </c>
      <c r="G272" s="1" t="str">
        <f>IF(OR(RSA!$C$12&lt;&gt;"Ready",LEN(RSA!C56)=0),"",MOD(E272*F272,RSA!$C$16))</f>
        <v/>
      </c>
      <c r="H272" s="1"/>
      <c r="I272" s="1">
        <v>11</v>
      </c>
      <c r="J272" s="1" t="str">
        <f>IF(OR(RSA!$C$12&lt;&gt;"Ready",LEN(RSA!C56)=0),"",INT(J271/2))</f>
        <v/>
      </c>
      <c r="K272" s="1" t="str">
        <f>IF(OR(RSA!$C$12&lt;&gt;"Ready",LEN(RSA!C56)=0),"",MOD(K271*K271,RSA!$C$16))</f>
        <v/>
      </c>
      <c r="L272" s="1" t="str">
        <f>IF(OR(RSA!$C$12&lt;&gt;"Ready",LEN(RSA!C56)=0),"",MOD(J272,2))</f>
        <v/>
      </c>
      <c r="M272" s="1" t="str">
        <f>IF(OR(RSA!$C$12&lt;&gt;"Ready",LEN(RSA!C56)=0),"",O271)</f>
        <v/>
      </c>
      <c r="N272" s="1" t="str">
        <f>IF(OR(RSA!$C$12&lt;&gt;"Ready",LEN(RSA!C56)=0),"",IF(L272=1,K272,1))</f>
        <v/>
      </c>
      <c r="O272" s="1" t="str">
        <f>IF(OR(RSA!$C$12&lt;&gt;"Ready",LEN(RSA!C56)=0),"",MOD(M272*N272,RSA!$C$16))</f>
        <v/>
      </c>
    </row>
    <row r="273" spans="1:15" ht="21.95" customHeight="1">
      <c r="A273" s="1">
        <v>12</v>
      </c>
      <c r="B273" s="1" t="str">
        <f>IF(OR(RSA!$C$12&lt;&gt;"Ready",LEN(RSA!C56)=0),"",INT(B272/2))</f>
        <v/>
      </c>
      <c r="C273" s="1" t="str">
        <f>IF(OR(RSA!$C$12&lt;&gt;"Ready",LEN(RSA!C56)=0),"",MOD(C272*C272,RSA!$C$16))</f>
        <v/>
      </c>
      <c r="D273" s="1" t="str">
        <f>IF(OR(RSA!$C$12&lt;&gt;"Ready",LEN(RSA!C56)=0),"",MOD(B273,2))</f>
        <v/>
      </c>
      <c r="E273" s="1" t="str">
        <f>IF(OR(RSA!$C$12&lt;&gt;"Ready",LEN(RSA!C56)=0),"",G272)</f>
        <v/>
      </c>
      <c r="F273" s="1" t="str">
        <f>IF(OR(RSA!$C$12&lt;&gt;"Ready",LEN(RSA!C56)=0),"",IF(D273=1,C273,1))</f>
        <v/>
      </c>
      <c r="G273" s="1" t="str">
        <f>IF(OR(RSA!$C$12&lt;&gt;"Ready",LEN(RSA!C56)=0),"",MOD(E273*F273,RSA!$C$16))</f>
        <v/>
      </c>
      <c r="H273" s="1"/>
      <c r="I273" s="1">
        <v>12</v>
      </c>
      <c r="J273" s="1" t="str">
        <f>IF(OR(RSA!$C$12&lt;&gt;"Ready",LEN(RSA!C56)=0),"",INT(J272/2))</f>
        <v/>
      </c>
      <c r="K273" s="1" t="str">
        <f>IF(OR(RSA!$C$12&lt;&gt;"Ready",LEN(RSA!C56)=0),"",MOD(K272*K272,RSA!$C$16))</f>
        <v/>
      </c>
      <c r="L273" s="1" t="str">
        <f>IF(OR(RSA!$C$12&lt;&gt;"Ready",LEN(RSA!C56)=0),"",MOD(J273,2))</f>
        <v/>
      </c>
      <c r="M273" s="1" t="str">
        <f>IF(OR(RSA!$C$12&lt;&gt;"Ready",LEN(RSA!C56)=0),"",O272)</f>
        <v/>
      </c>
      <c r="N273" s="1" t="str">
        <f>IF(OR(RSA!$C$12&lt;&gt;"Ready",LEN(RSA!C56)=0),"",IF(L273=1,K273,1))</f>
        <v/>
      </c>
      <c r="O273" s="1" t="str">
        <f>IF(OR(RSA!$C$12&lt;&gt;"Ready",LEN(RSA!C56)=0),"",MOD(M273*N273,RSA!$C$16))</f>
        <v/>
      </c>
    </row>
    <row r="274" spans="1:15" ht="21.95" customHeight="1">
      <c r="A274" s="1">
        <v>13</v>
      </c>
      <c r="B274" s="1" t="str">
        <f>IF(OR(RSA!$C$12&lt;&gt;"Ready",LEN(RSA!C56)=0),"",INT(B273/2))</f>
        <v/>
      </c>
      <c r="C274" s="1" t="str">
        <f>IF(OR(RSA!$C$12&lt;&gt;"Ready",LEN(RSA!C56)=0),"",MOD(C273*C273,RSA!$C$16))</f>
        <v/>
      </c>
      <c r="D274" s="1" t="str">
        <f>IF(OR(RSA!$C$12&lt;&gt;"Ready",LEN(RSA!C56)=0),"",MOD(B274,2))</f>
        <v/>
      </c>
      <c r="E274" s="1" t="str">
        <f>IF(OR(RSA!$C$12&lt;&gt;"Ready",LEN(RSA!C56)=0),"",G273)</f>
        <v/>
      </c>
      <c r="F274" s="1" t="str">
        <f>IF(OR(RSA!$C$12&lt;&gt;"Ready",LEN(RSA!C56)=0),"",IF(D274=1,C274,1))</f>
        <v/>
      </c>
      <c r="G274" s="1" t="str">
        <f>IF(OR(RSA!$C$12&lt;&gt;"Ready",LEN(RSA!C56)=0),"",MOD(E274*F274,RSA!$C$16))</f>
        <v/>
      </c>
      <c r="H274" s="1"/>
      <c r="I274" s="1">
        <v>13</v>
      </c>
      <c r="J274" s="1" t="str">
        <f>IF(OR(RSA!$C$12&lt;&gt;"Ready",LEN(RSA!C56)=0),"",INT(J273/2))</f>
        <v/>
      </c>
      <c r="K274" s="1" t="str">
        <f>IF(OR(RSA!$C$12&lt;&gt;"Ready",LEN(RSA!C56)=0),"",MOD(K273*K273,RSA!$C$16))</f>
        <v/>
      </c>
      <c r="L274" s="1" t="str">
        <f>IF(OR(RSA!$C$12&lt;&gt;"Ready",LEN(RSA!C56)=0),"",MOD(J274,2))</f>
        <v/>
      </c>
      <c r="M274" s="1" t="str">
        <f>IF(OR(RSA!$C$12&lt;&gt;"Ready",LEN(RSA!C56)=0),"",O273)</f>
        <v/>
      </c>
      <c r="N274" s="1" t="str">
        <f>IF(OR(RSA!$C$12&lt;&gt;"Ready",LEN(RSA!C56)=0),"",IF(L274=1,K274,1))</f>
        <v/>
      </c>
      <c r="O274" s="1" t="str">
        <f>IF(OR(RSA!$C$12&lt;&gt;"Ready",LEN(RSA!C56)=0),"",MOD(M274*N274,RSA!$C$16))</f>
        <v/>
      </c>
    </row>
    <row r="275" spans="1:15" ht="21.95" customHeight="1">
      <c r="A275" s="1">
        <v>14</v>
      </c>
      <c r="B275" s="1" t="str">
        <f>IF(OR(RSA!$C$12&lt;&gt;"Ready",LEN(RSA!C56)=0),"",INT(B274/2))</f>
        <v/>
      </c>
      <c r="C275" s="1" t="str">
        <f>IF(OR(RSA!$C$12&lt;&gt;"Ready",LEN(RSA!C56)=0),"",MOD(C274*C274,RSA!$C$16))</f>
        <v/>
      </c>
      <c r="D275" s="1" t="str">
        <f>IF(OR(RSA!$C$12&lt;&gt;"Ready",LEN(RSA!C56)=0),"",MOD(B275,2))</f>
        <v/>
      </c>
      <c r="E275" s="1" t="str">
        <f>IF(OR(RSA!$C$12&lt;&gt;"Ready",LEN(RSA!C56)=0),"",G274)</f>
        <v/>
      </c>
      <c r="F275" s="1" t="str">
        <f>IF(OR(RSA!$C$12&lt;&gt;"Ready",LEN(RSA!C56)=0),"",IF(D275=1,C275,1))</f>
        <v/>
      </c>
      <c r="G275" s="12" t="str">
        <f>IF(OR(RSA!$C$12&lt;&gt;"Ready",LEN(RSA!C56)=0),"",MOD(E275*F275,RSA!$C$16))</f>
        <v/>
      </c>
      <c r="H275" s="1"/>
      <c r="I275" s="1">
        <v>14</v>
      </c>
      <c r="J275" s="1" t="str">
        <f>IF(OR(RSA!$C$12&lt;&gt;"Ready",LEN(RSA!C56)=0),"",INT(J274/2))</f>
        <v/>
      </c>
      <c r="K275" s="1" t="str">
        <f>IF(OR(RSA!$C$12&lt;&gt;"Ready",LEN(RSA!C56)=0),"",MOD(K274*K274,RSA!$C$16))</f>
        <v/>
      </c>
      <c r="L275" s="1" t="str">
        <f>IF(OR(RSA!$C$12&lt;&gt;"Ready",LEN(RSA!C56)=0),"",MOD(J275,2))</f>
        <v/>
      </c>
      <c r="M275" s="1" t="str">
        <f>IF(OR(RSA!$C$12&lt;&gt;"Ready",LEN(RSA!C56)=0),"",O274)</f>
        <v/>
      </c>
      <c r="N275" s="1" t="str">
        <f>IF(OR(RSA!$C$12&lt;&gt;"Ready",LEN(RSA!C56)=0),"",IF(L275=1,K275,1))</f>
        <v/>
      </c>
      <c r="O275" s="12" t="str">
        <f>IF(OR(RSA!$C$12&lt;&gt;"Ready",LEN(RSA!C56)=0),"",MOD(M275*N275,RSA!$C$16))</f>
        <v/>
      </c>
    </row>
    <row r="276" spans="1:15" ht="21.9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21.9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21.95" customHeight="1">
      <c r="A278" s="1" t="s">
        <v>112</v>
      </c>
      <c r="B278" s="1"/>
      <c r="C278" s="1"/>
      <c r="D278" s="1"/>
      <c r="E278" s="1"/>
      <c r="F278" s="1"/>
      <c r="G278" s="1"/>
      <c r="H278" s="1"/>
      <c r="I278" s="1" t="s">
        <v>113</v>
      </c>
      <c r="J278" s="1"/>
      <c r="K278" s="1"/>
      <c r="L278" s="1"/>
      <c r="M278" s="1"/>
      <c r="N278" s="1"/>
      <c r="O278" s="1"/>
    </row>
    <row r="279" spans="1:15" ht="32.1" customHeight="1">
      <c r="A279" s="4" t="s">
        <v>77</v>
      </c>
      <c r="B279" s="4" t="s">
        <v>78</v>
      </c>
      <c r="C279" s="4" t="s">
        <v>79</v>
      </c>
      <c r="D279" s="4" t="s">
        <v>80</v>
      </c>
      <c r="E279" s="4" t="s">
        <v>81</v>
      </c>
      <c r="F279" s="4" t="s">
        <v>82</v>
      </c>
      <c r="G279" s="4" t="s">
        <v>83</v>
      </c>
      <c r="H279" s="1"/>
      <c r="I279" s="4" t="s">
        <v>77</v>
      </c>
      <c r="J279" s="4" t="s">
        <v>78</v>
      </c>
      <c r="K279" s="4" t="s">
        <v>79</v>
      </c>
      <c r="L279" s="4" t="s">
        <v>80</v>
      </c>
      <c r="M279" s="4" t="s">
        <v>81</v>
      </c>
      <c r="N279" s="4" t="s">
        <v>82</v>
      </c>
      <c r="O279" s="4" t="s">
        <v>83</v>
      </c>
    </row>
    <row r="280" spans="1:15" ht="21.95" customHeight="1">
      <c r="A280" s="1">
        <v>1</v>
      </c>
      <c r="B280" s="1" t="str">
        <f>IF(OR(RSA!$C$12&lt;&gt;"Ready",LEN(RSA!C57)=0),"",RSA!$C$18)</f>
        <v/>
      </c>
      <c r="C280" s="1" t="str">
        <f>IF(OR(RSA!$C$12&lt;&gt;"Ready",LEN(RSA!C57)=0),"",RSA!D57)</f>
        <v/>
      </c>
      <c r="D280" s="1" t="str">
        <f>IF(OR(RSA!$C$12&lt;&gt;"Ready",LEN(RSA!C57)=0),"",MOD(B280,2))</f>
        <v/>
      </c>
      <c r="E280" s="1" t="str">
        <f>IF(OR(RSA!$C$12&lt;&gt;"Ready",LEN(RSA!C57)=0),"",1)</f>
        <v/>
      </c>
      <c r="F280" s="1" t="str">
        <f>IF(OR(RSA!$C$12&lt;&gt;"Ready",LEN(RSA!C57)=0),"",IF(D280=1,C280,1))</f>
        <v/>
      </c>
      <c r="G280" s="1" t="str">
        <f>IF(OR(RSA!$C$12&lt;&gt;"Ready",LEN(RSA!C57)=0),"",MOD(E280*F280,RSA!$C$16))</f>
        <v/>
      </c>
      <c r="H280" s="1"/>
      <c r="I280" s="1">
        <v>1</v>
      </c>
      <c r="J280" s="1" t="str">
        <f>IF(OR(RSA!$C$12&lt;&gt;"Ready",LEN(RSA!C57)=0),"",RSA!$C$19)</f>
        <v/>
      </c>
      <c r="K280" s="1" t="str">
        <f>IF(OR(RSA!$C$12&lt;&gt;"Ready",LEN(RSA!C57)=0),"",RSA!F57)</f>
        <v/>
      </c>
      <c r="L280" s="1" t="str">
        <f>IF(OR(RSA!$C$12&lt;&gt;"Ready",LEN(RSA!C57)=0),"",MOD(J280,2))</f>
        <v/>
      </c>
      <c r="M280" s="1" t="str">
        <f>IF(OR(RSA!$C$12&lt;&gt;"Ready",LEN(RSA!C57)=0),"",1)</f>
        <v/>
      </c>
      <c r="N280" s="1" t="str">
        <f>IF(OR(RSA!$C$12&lt;&gt;"Ready",LEN(RSA!C57)=0),"",IF(L280=1,K280,1))</f>
        <v/>
      </c>
      <c r="O280" s="1" t="str">
        <f>IF(OR(RSA!$C$12&lt;&gt;"Ready",LEN(RSA!C57)=0),"",MOD(M280*N280,RSA!$C$16))</f>
        <v/>
      </c>
    </row>
    <row r="281" spans="1:15" ht="21.95" customHeight="1">
      <c r="A281" s="1">
        <v>2</v>
      </c>
      <c r="B281" s="1" t="str">
        <f>IF(OR(RSA!$C$12&lt;&gt;"Ready",LEN(RSA!C57)=0),"",INT(B280/2))</f>
        <v/>
      </c>
      <c r="C281" s="1" t="str">
        <f>IF(OR(RSA!$C$12&lt;&gt;"Ready",LEN(RSA!C57)=0),"",MOD(C280*C280,RSA!$C$16))</f>
        <v/>
      </c>
      <c r="D281" s="1" t="str">
        <f>IF(OR(RSA!$C$12&lt;&gt;"Ready",LEN(RSA!C57)=0),"",MOD(B281,2))</f>
        <v/>
      </c>
      <c r="E281" s="1" t="str">
        <f>IF(OR(RSA!$C$12&lt;&gt;"Ready",LEN(RSA!C57)=0),"",G280)</f>
        <v/>
      </c>
      <c r="F281" s="1" t="str">
        <f>IF(OR(RSA!$C$12&lt;&gt;"Ready",LEN(RSA!C57)=0),"",IF(D281=1,C281,1))</f>
        <v/>
      </c>
      <c r="G281" s="1" t="str">
        <f>IF(OR(RSA!$C$12&lt;&gt;"Ready",LEN(RSA!C57)=0),"",MOD(E281*F281,RSA!$C$16))</f>
        <v/>
      </c>
      <c r="H281" s="1"/>
      <c r="I281" s="1">
        <v>2</v>
      </c>
      <c r="J281" s="1" t="str">
        <f>IF(OR(RSA!$C$12&lt;&gt;"Ready",LEN(RSA!C57)=0),"",INT(J280/2))</f>
        <v/>
      </c>
      <c r="K281" s="1" t="str">
        <f>IF(OR(RSA!$C$12&lt;&gt;"Ready",LEN(RSA!C57)=0),"",MOD(K280*K280,RSA!$C$16))</f>
        <v/>
      </c>
      <c r="L281" s="1" t="str">
        <f>IF(OR(RSA!$C$12&lt;&gt;"Ready",LEN(RSA!C57)=0),"",MOD(J281,2))</f>
        <v/>
      </c>
      <c r="M281" s="1" t="str">
        <f>IF(OR(RSA!$C$12&lt;&gt;"Ready",LEN(RSA!C57)=0),"",O280)</f>
        <v/>
      </c>
      <c r="N281" s="1" t="str">
        <f>IF(OR(RSA!$C$12&lt;&gt;"Ready",LEN(RSA!C57)=0),"",IF(L281=1,K281,1))</f>
        <v/>
      </c>
      <c r="O281" s="1" t="str">
        <f>IF(OR(RSA!$C$12&lt;&gt;"Ready",LEN(RSA!C57)=0),"",MOD(M281*N281,RSA!$C$16))</f>
        <v/>
      </c>
    </row>
    <row r="282" spans="1:15" ht="21.95" customHeight="1">
      <c r="A282" s="1">
        <v>3</v>
      </c>
      <c r="B282" s="1" t="str">
        <f>IF(OR(RSA!$C$12&lt;&gt;"Ready",LEN(RSA!C57)=0),"",INT(B281/2))</f>
        <v/>
      </c>
      <c r="C282" s="1" t="str">
        <f>IF(OR(RSA!$C$12&lt;&gt;"Ready",LEN(RSA!C57)=0),"",MOD(C281*C281,RSA!$C$16))</f>
        <v/>
      </c>
      <c r="D282" s="1" t="str">
        <f>IF(OR(RSA!$C$12&lt;&gt;"Ready",LEN(RSA!C57)=0),"",MOD(B282,2))</f>
        <v/>
      </c>
      <c r="E282" s="1" t="str">
        <f>IF(OR(RSA!$C$12&lt;&gt;"Ready",LEN(RSA!C57)=0),"",G281)</f>
        <v/>
      </c>
      <c r="F282" s="1" t="str">
        <f>IF(OR(RSA!$C$12&lt;&gt;"Ready",LEN(RSA!C57)=0),"",IF(D282=1,C282,1))</f>
        <v/>
      </c>
      <c r="G282" s="1" t="str">
        <f>IF(OR(RSA!$C$12&lt;&gt;"Ready",LEN(RSA!C57)=0),"",MOD(E282*F282,RSA!$C$16))</f>
        <v/>
      </c>
      <c r="H282" s="1"/>
      <c r="I282" s="1">
        <v>3</v>
      </c>
      <c r="J282" s="1" t="str">
        <f>IF(OR(RSA!$C$12&lt;&gt;"Ready",LEN(RSA!C57)=0),"",INT(J281/2))</f>
        <v/>
      </c>
      <c r="K282" s="1" t="str">
        <f>IF(OR(RSA!$C$12&lt;&gt;"Ready",LEN(RSA!C57)=0),"",MOD(K281*K281,RSA!$C$16))</f>
        <v/>
      </c>
      <c r="L282" s="1" t="str">
        <f>IF(OR(RSA!$C$12&lt;&gt;"Ready",LEN(RSA!C57)=0),"",MOD(J282,2))</f>
        <v/>
      </c>
      <c r="M282" s="1" t="str">
        <f>IF(OR(RSA!$C$12&lt;&gt;"Ready",LEN(RSA!C57)=0),"",O281)</f>
        <v/>
      </c>
      <c r="N282" s="1" t="str">
        <f>IF(OR(RSA!$C$12&lt;&gt;"Ready",LEN(RSA!C57)=0),"",IF(L282=1,K282,1))</f>
        <v/>
      </c>
      <c r="O282" s="1" t="str">
        <f>IF(OR(RSA!$C$12&lt;&gt;"Ready",LEN(RSA!C57)=0),"",MOD(M282*N282,RSA!$C$16))</f>
        <v/>
      </c>
    </row>
    <row r="283" spans="1:15" ht="21.95" customHeight="1">
      <c r="A283" s="1">
        <v>4</v>
      </c>
      <c r="B283" s="1" t="str">
        <f>IF(OR(RSA!$C$12&lt;&gt;"Ready",LEN(RSA!C57)=0),"",INT(B282/2))</f>
        <v/>
      </c>
      <c r="C283" s="1" t="str">
        <f>IF(OR(RSA!$C$12&lt;&gt;"Ready",LEN(RSA!C57)=0),"",MOD(C282*C282,RSA!$C$16))</f>
        <v/>
      </c>
      <c r="D283" s="1" t="str">
        <f>IF(OR(RSA!$C$12&lt;&gt;"Ready",LEN(RSA!C57)=0),"",MOD(B283,2))</f>
        <v/>
      </c>
      <c r="E283" s="1" t="str">
        <f>IF(OR(RSA!$C$12&lt;&gt;"Ready",LEN(RSA!C57)=0),"",G282)</f>
        <v/>
      </c>
      <c r="F283" s="1" t="str">
        <f>IF(OR(RSA!$C$12&lt;&gt;"Ready",LEN(RSA!C57)=0),"",IF(D283=1,C283,1))</f>
        <v/>
      </c>
      <c r="G283" s="1" t="str">
        <f>IF(OR(RSA!$C$12&lt;&gt;"Ready",LEN(RSA!C57)=0),"",MOD(E283*F283,RSA!$C$16))</f>
        <v/>
      </c>
      <c r="H283" s="1"/>
      <c r="I283" s="1">
        <v>4</v>
      </c>
      <c r="J283" s="1" t="str">
        <f>IF(OR(RSA!$C$12&lt;&gt;"Ready",LEN(RSA!C57)=0),"",INT(J282/2))</f>
        <v/>
      </c>
      <c r="K283" s="1" t="str">
        <f>IF(OR(RSA!$C$12&lt;&gt;"Ready",LEN(RSA!C57)=0),"",MOD(K282*K282,RSA!$C$16))</f>
        <v/>
      </c>
      <c r="L283" s="1" t="str">
        <f>IF(OR(RSA!$C$12&lt;&gt;"Ready",LEN(RSA!C57)=0),"",MOD(J283,2))</f>
        <v/>
      </c>
      <c r="M283" s="1" t="str">
        <f>IF(OR(RSA!$C$12&lt;&gt;"Ready",LEN(RSA!C57)=0),"",O282)</f>
        <v/>
      </c>
      <c r="N283" s="1" t="str">
        <f>IF(OR(RSA!$C$12&lt;&gt;"Ready",LEN(RSA!C57)=0),"",IF(L283=1,K283,1))</f>
        <v/>
      </c>
      <c r="O283" s="1" t="str">
        <f>IF(OR(RSA!$C$12&lt;&gt;"Ready",LEN(RSA!C57)=0),"",MOD(M283*N283,RSA!$C$16))</f>
        <v/>
      </c>
    </row>
    <row r="284" spans="1:15" ht="21.95" customHeight="1">
      <c r="A284" s="1">
        <v>5</v>
      </c>
      <c r="B284" s="1" t="str">
        <f>IF(OR(RSA!$C$12&lt;&gt;"Ready",LEN(RSA!C57)=0),"",INT(B283/2))</f>
        <v/>
      </c>
      <c r="C284" s="1" t="str">
        <f>IF(OR(RSA!$C$12&lt;&gt;"Ready",LEN(RSA!C57)=0),"",MOD(C283*C283,RSA!$C$16))</f>
        <v/>
      </c>
      <c r="D284" s="1" t="str">
        <f>IF(OR(RSA!$C$12&lt;&gt;"Ready",LEN(RSA!C57)=0),"",MOD(B284,2))</f>
        <v/>
      </c>
      <c r="E284" s="1" t="str">
        <f>IF(OR(RSA!$C$12&lt;&gt;"Ready",LEN(RSA!C57)=0),"",G283)</f>
        <v/>
      </c>
      <c r="F284" s="1" t="str">
        <f>IF(OR(RSA!$C$12&lt;&gt;"Ready",LEN(RSA!C57)=0),"",IF(D284=1,C284,1))</f>
        <v/>
      </c>
      <c r="G284" s="1" t="str">
        <f>IF(OR(RSA!$C$12&lt;&gt;"Ready",LEN(RSA!C57)=0),"",MOD(E284*F284,RSA!$C$16))</f>
        <v/>
      </c>
      <c r="H284" s="1"/>
      <c r="I284" s="1">
        <v>5</v>
      </c>
      <c r="J284" s="1" t="str">
        <f>IF(OR(RSA!$C$12&lt;&gt;"Ready",LEN(RSA!C57)=0),"",INT(J283/2))</f>
        <v/>
      </c>
      <c r="K284" s="1" t="str">
        <f>IF(OR(RSA!$C$12&lt;&gt;"Ready",LEN(RSA!C57)=0),"",MOD(K283*K283,RSA!$C$16))</f>
        <v/>
      </c>
      <c r="L284" s="1" t="str">
        <f>IF(OR(RSA!$C$12&lt;&gt;"Ready",LEN(RSA!C57)=0),"",MOD(J284,2))</f>
        <v/>
      </c>
      <c r="M284" s="1" t="str">
        <f>IF(OR(RSA!$C$12&lt;&gt;"Ready",LEN(RSA!C57)=0),"",O283)</f>
        <v/>
      </c>
      <c r="N284" s="1" t="str">
        <f>IF(OR(RSA!$C$12&lt;&gt;"Ready",LEN(RSA!C57)=0),"",IF(L284=1,K284,1))</f>
        <v/>
      </c>
      <c r="O284" s="1" t="str">
        <f>IF(OR(RSA!$C$12&lt;&gt;"Ready",LEN(RSA!C57)=0),"",MOD(M284*N284,RSA!$C$16))</f>
        <v/>
      </c>
    </row>
    <row r="285" spans="1:15" ht="21.95" customHeight="1">
      <c r="A285" s="1">
        <v>6</v>
      </c>
      <c r="B285" s="1" t="str">
        <f>IF(OR(RSA!$C$12&lt;&gt;"Ready",LEN(RSA!C57)=0),"",INT(B284/2))</f>
        <v/>
      </c>
      <c r="C285" s="1" t="str">
        <f>IF(OR(RSA!$C$12&lt;&gt;"Ready",LEN(RSA!C57)=0),"",MOD(C284*C284,RSA!$C$16))</f>
        <v/>
      </c>
      <c r="D285" s="1" t="str">
        <f>IF(OR(RSA!$C$12&lt;&gt;"Ready",LEN(RSA!C57)=0),"",MOD(B285,2))</f>
        <v/>
      </c>
      <c r="E285" s="1" t="str">
        <f>IF(OR(RSA!$C$12&lt;&gt;"Ready",LEN(RSA!C57)=0),"",G284)</f>
        <v/>
      </c>
      <c r="F285" s="1" t="str">
        <f>IF(OR(RSA!$C$12&lt;&gt;"Ready",LEN(RSA!C57)=0),"",IF(D285=1,C285,1))</f>
        <v/>
      </c>
      <c r="G285" s="1" t="str">
        <f>IF(OR(RSA!$C$12&lt;&gt;"Ready",LEN(RSA!C57)=0),"",MOD(E285*F285,RSA!$C$16))</f>
        <v/>
      </c>
      <c r="H285" s="1"/>
      <c r="I285" s="1">
        <v>6</v>
      </c>
      <c r="J285" s="1" t="str">
        <f>IF(OR(RSA!$C$12&lt;&gt;"Ready",LEN(RSA!C57)=0),"",INT(J284/2))</f>
        <v/>
      </c>
      <c r="K285" s="1" t="str">
        <f>IF(OR(RSA!$C$12&lt;&gt;"Ready",LEN(RSA!C57)=0),"",MOD(K284*K284,RSA!$C$16))</f>
        <v/>
      </c>
      <c r="L285" s="1" t="str">
        <f>IF(OR(RSA!$C$12&lt;&gt;"Ready",LEN(RSA!C57)=0),"",MOD(J285,2))</f>
        <v/>
      </c>
      <c r="M285" s="1" t="str">
        <f>IF(OR(RSA!$C$12&lt;&gt;"Ready",LEN(RSA!C57)=0),"",O284)</f>
        <v/>
      </c>
      <c r="N285" s="1" t="str">
        <f>IF(OR(RSA!$C$12&lt;&gt;"Ready",LEN(RSA!C57)=0),"",IF(L285=1,K285,1))</f>
        <v/>
      </c>
      <c r="O285" s="1" t="str">
        <f>IF(OR(RSA!$C$12&lt;&gt;"Ready",LEN(RSA!C57)=0),"",MOD(M285*N285,RSA!$C$16))</f>
        <v/>
      </c>
    </row>
    <row r="286" spans="1:15" ht="21.95" customHeight="1">
      <c r="A286" s="1">
        <v>7</v>
      </c>
      <c r="B286" s="1" t="str">
        <f>IF(OR(RSA!$C$12&lt;&gt;"Ready",LEN(RSA!C57)=0),"",INT(B285/2))</f>
        <v/>
      </c>
      <c r="C286" s="1" t="str">
        <f>IF(OR(RSA!$C$12&lt;&gt;"Ready",LEN(RSA!C57)=0),"",MOD(C285*C285,RSA!$C$16))</f>
        <v/>
      </c>
      <c r="D286" s="1" t="str">
        <f>IF(OR(RSA!$C$12&lt;&gt;"Ready",LEN(RSA!C57)=0),"",MOD(B286,2))</f>
        <v/>
      </c>
      <c r="E286" s="1" t="str">
        <f>IF(OR(RSA!$C$12&lt;&gt;"Ready",LEN(RSA!C57)=0),"",G285)</f>
        <v/>
      </c>
      <c r="F286" s="1" t="str">
        <f>IF(OR(RSA!$C$12&lt;&gt;"Ready",LEN(RSA!C57)=0),"",IF(D286=1,C286,1))</f>
        <v/>
      </c>
      <c r="G286" s="1" t="str">
        <f>IF(OR(RSA!$C$12&lt;&gt;"Ready",LEN(RSA!C57)=0),"",MOD(E286*F286,RSA!$C$16))</f>
        <v/>
      </c>
      <c r="H286" s="1"/>
      <c r="I286" s="1">
        <v>7</v>
      </c>
      <c r="J286" s="1" t="str">
        <f>IF(OR(RSA!$C$12&lt;&gt;"Ready",LEN(RSA!C57)=0),"",INT(J285/2))</f>
        <v/>
      </c>
      <c r="K286" s="1" t="str">
        <f>IF(OR(RSA!$C$12&lt;&gt;"Ready",LEN(RSA!C57)=0),"",MOD(K285*K285,RSA!$C$16))</f>
        <v/>
      </c>
      <c r="L286" s="1" t="str">
        <f>IF(OR(RSA!$C$12&lt;&gt;"Ready",LEN(RSA!C57)=0),"",MOD(J286,2))</f>
        <v/>
      </c>
      <c r="M286" s="1" t="str">
        <f>IF(OR(RSA!$C$12&lt;&gt;"Ready",LEN(RSA!C57)=0),"",O285)</f>
        <v/>
      </c>
      <c r="N286" s="1" t="str">
        <f>IF(OR(RSA!$C$12&lt;&gt;"Ready",LEN(RSA!C57)=0),"",IF(L286=1,K286,1))</f>
        <v/>
      </c>
      <c r="O286" s="1" t="str">
        <f>IF(OR(RSA!$C$12&lt;&gt;"Ready",LEN(RSA!C57)=0),"",MOD(M286*N286,RSA!$C$16))</f>
        <v/>
      </c>
    </row>
    <row r="287" spans="1:15" ht="21.95" customHeight="1">
      <c r="A287" s="1">
        <v>8</v>
      </c>
      <c r="B287" s="1" t="str">
        <f>IF(OR(RSA!$C$12&lt;&gt;"Ready",LEN(RSA!C57)=0),"",INT(B286/2))</f>
        <v/>
      </c>
      <c r="C287" s="1" t="str">
        <f>IF(OR(RSA!$C$12&lt;&gt;"Ready",LEN(RSA!C57)=0),"",MOD(C286*C286,RSA!$C$16))</f>
        <v/>
      </c>
      <c r="D287" s="1" t="str">
        <f>IF(OR(RSA!$C$12&lt;&gt;"Ready",LEN(RSA!C57)=0),"",MOD(B287,2))</f>
        <v/>
      </c>
      <c r="E287" s="1" t="str">
        <f>IF(OR(RSA!$C$12&lt;&gt;"Ready",LEN(RSA!C57)=0),"",G286)</f>
        <v/>
      </c>
      <c r="F287" s="1" t="str">
        <f>IF(OR(RSA!$C$12&lt;&gt;"Ready",LEN(RSA!C57)=0),"",IF(D287=1,C287,1))</f>
        <v/>
      </c>
      <c r="G287" s="1" t="str">
        <f>IF(OR(RSA!$C$12&lt;&gt;"Ready",LEN(RSA!C57)=0),"",MOD(E287*F287,RSA!$C$16))</f>
        <v/>
      </c>
      <c r="H287" s="1"/>
      <c r="I287" s="1">
        <v>8</v>
      </c>
      <c r="J287" s="1" t="str">
        <f>IF(OR(RSA!$C$12&lt;&gt;"Ready",LEN(RSA!C57)=0),"",INT(J286/2))</f>
        <v/>
      </c>
      <c r="K287" s="1" t="str">
        <f>IF(OR(RSA!$C$12&lt;&gt;"Ready",LEN(RSA!C57)=0),"",MOD(K286*K286,RSA!$C$16))</f>
        <v/>
      </c>
      <c r="L287" s="1" t="str">
        <f>IF(OR(RSA!$C$12&lt;&gt;"Ready",LEN(RSA!C57)=0),"",MOD(J287,2))</f>
        <v/>
      </c>
      <c r="M287" s="1" t="str">
        <f>IF(OR(RSA!$C$12&lt;&gt;"Ready",LEN(RSA!C57)=0),"",O286)</f>
        <v/>
      </c>
      <c r="N287" s="1" t="str">
        <f>IF(OR(RSA!$C$12&lt;&gt;"Ready",LEN(RSA!C57)=0),"",IF(L287=1,K287,1))</f>
        <v/>
      </c>
      <c r="O287" s="1" t="str">
        <f>IF(OR(RSA!$C$12&lt;&gt;"Ready",LEN(RSA!C57)=0),"",MOD(M287*N287,RSA!$C$16))</f>
        <v/>
      </c>
    </row>
    <row r="288" spans="1:15" ht="21.95" customHeight="1">
      <c r="A288" s="1">
        <v>9</v>
      </c>
      <c r="B288" s="1" t="str">
        <f>IF(OR(RSA!$C$12&lt;&gt;"Ready",LEN(RSA!C57)=0),"",INT(B287/2))</f>
        <v/>
      </c>
      <c r="C288" s="1" t="str">
        <f>IF(OR(RSA!$C$12&lt;&gt;"Ready",LEN(RSA!C57)=0),"",MOD(C287*C287,RSA!$C$16))</f>
        <v/>
      </c>
      <c r="D288" s="1" t="str">
        <f>IF(OR(RSA!$C$12&lt;&gt;"Ready",LEN(RSA!C57)=0),"",MOD(B288,2))</f>
        <v/>
      </c>
      <c r="E288" s="1" t="str">
        <f>IF(OR(RSA!$C$12&lt;&gt;"Ready",LEN(RSA!C57)=0),"",G287)</f>
        <v/>
      </c>
      <c r="F288" s="1" t="str">
        <f>IF(OR(RSA!$C$12&lt;&gt;"Ready",LEN(RSA!C57)=0),"",IF(D288=1,C288,1))</f>
        <v/>
      </c>
      <c r="G288" s="1" t="str">
        <f>IF(OR(RSA!$C$12&lt;&gt;"Ready",LEN(RSA!C57)=0),"",MOD(E288*F288,RSA!$C$16))</f>
        <v/>
      </c>
      <c r="H288" s="1"/>
      <c r="I288" s="1">
        <v>9</v>
      </c>
      <c r="J288" s="1" t="str">
        <f>IF(OR(RSA!$C$12&lt;&gt;"Ready",LEN(RSA!C57)=0),"",INT(J287/2))</f>
        <v/>
      </c>
      <c r="K288" s="1" t="str">
        <f>IF(OR(RSA!$C$12&lt;&gt;"Ready",LEN(RSA!C57)=0),"",MOD(K287*K287,RSA!$C$16))</f>
        <v/>
      </c>
      <c r="L288" s="1" t="str">
        <f>IF(OR(RSA!$C$12&lt;&gt;"Ready",LEN(RSA!C57)=0),"",MOD(J288,2))</f>
        <v/>
      </c>
      <c r="M288" s="1" t="str">
        <f>IF(OR(RSA!$C$12&lt;&gt;"Ready",LEN(RSA!C57)=0),"",O287)</f>
        <v/>
      </c>
      <c r="N288" s="1" t="str">
        <f>IF(OR(RSA!$C$12&lt;&gt;"Ready",LEN(RSA!C57)=0),"",IF(L288=1,K288,1))</f>
        <v/>
      </c>
      <c r="O288" s="1" t="str">
        <f>IF(OR(RSA!$C$12&lt;&gt;"Ready",LEN(RSA!C57)=0),"",MOD(M288*N288,RSA!$C$16))</f>
        <v/>
      </c>
    </row>
    <row r="289" spans="1:15" ht="21.95" customHeight="1">
      <c r="A289" s="1">
        <v>10</v>
      </c>
      <c r="B289" s="1" t="str">
        <f>IF(OR(RSA!$C$12&lt;&gt;"Ready",LEN(RSA!C57)=0),"",INT(B288/2))</f>
        <v/>
      </c>
      <c r="C289" s="1" t="str">
        <f>IF(OR(RSA!$C$12&lt;&gt;"Ready",LEN(RSA!C57)=0),"",MOD(C288*C288,RSA!$C$16))</f>
        <v/>
      </c>
      <c r="D289" s="1" t="str">
        <f>IF(OR(RSA!$C$12&lt;&gt;"Ready",LEN(RSA!C57)=0),"",MOD(B289,2))</f>
        <v/>
      </c>
      <c r="E289" s="1" t="str">
        <f>IF(OR(RSA!$C$12&lt;&gt;"Ready",LEN(RSA!C57)=0),"",G288)</f>
        <v/>
      </c>
      <c r="F289" s="1" t="str">
        <f>IF(OR(RSA!$C$12&lt;&gt;"Ready",LEN(RSA!C57)=0),"",IF(D289=1,C289,1))</f>
        <v/>
      </c>
      <c r="G289" s="1" t="str">
        <f>IF(OR(RSA!$C$12&lt;&gt;"Ready",LEN(RSA!C57)=0),"",MOD(E289*F289,RSA!$C$16))</f>
        <v/>
      </c>
      <c r="H289" s="1"/>
      <c r="I289" s="1">
        <v>10</v>
      </c>
      <c r="J289" s="1" t="str">
        <f>IF(OR(RSA!$C$12&lt;&gt;"Ready",LEN(RSA!C57)=0),"",INT(J288/2))</f>
        <v/>
      </c>
      <c r="K289" s="1" t="str">
        <f>IF(OR(RSA!$C$12&lt;&gt;"Ready",LEN(RSA!C57)=0),"",MOD(K288*K288,RSA!$C$16))</f>
        <v/>
      </c>
      <c r="L289" s="1" t="str">
        <f>IF(OR(RSA!$C$12&lt;&gt;"Ready",LEN(RSA!C57)=0),"",MOD(J289,2))</f>
        <v/>
      </c>
      <c r="M289" s="1" t="str">
        <f>IF(OR(RSA!$C$12&lt;&gt;"Ready",LEN(RSA!C57)=0),"",O288)</f>
        <v/>
      </c>
      <c r="N289" s="1" t="str">
        <f>IF(OR(RSA!$C$12&lt;&gt;"Ready",LEN(RSA!C57)=0),"",IF(L289=1,K289,1))</f>
        <v/>
      </c>
      <c r="O289" s="1" t="str">
        <f>IF(OR(RSA!$C$12&lt;&gt;"Ready",LEN(RSA!C57)=0),"",MOD(M289*N289,RSA!$C$16))</f>
        <v/>
      </c>
    </row>
    <row r="290" spans="1:15" ht="21.95" customHeight="1">
      <c r="A290" s="1">
        <v>11</v>
      </c>
      <c r="B290" s="1" t="str">
        <f>IF(OR(RSA!$C$12&lt;&gt;"Ready",LEN(RSA!C57)=0),"",INT(B289/2))</f>
        <v/>
      </c>
      <c r="C290" s="1" t="str">
        <f>IF(OR(RSA!$C$12&lt;&gt;"Ready",LEN(RSA!C57)=0),"",MOD(C289*C289,RSA!$C$16))</f>
        <v/>
      </c>
      <c r="D290" s="1" t="str">
        <f>IF(OR(RSA!$C$12&lt;&gt;"Ready",LEN(RSA!C57)=0),"",MOD(B290,2))</f>
        <v/>
      </c>
      <c r="E290" s="1" t="str">
        <f>IF(OR(RSA!$C$12&lt;&gt;"Ready",LEN(RSA!C57)=0),"",G289)</f>
        <v/>
      </c>
      <c r="F290" s="1" t="str">
        <f>IF(OR(RSA!$C$12&lt;&gt;"Ready",LEN(RSA!C57)=0),"",IF(D290=1,C290,1))</f>
        <v/>
      </c>
      <c r="G290" s="1" t="str">
        <f>IF(OR(RSA!$C$12&lt;&gt;"Ready",LEN(RSA!C57)=0),"",MOD(E290*F290,RSA!$C$16))</f>
        <v/>
      </c>
      <c r="H290" s="1"/>
      <c r="I290" s="1">
        <v>11</v>
      </c>
      <c r="J290" s="1" t="str">
        <f>IF(OR(RSA!$C$12&lt;&gt;"Ready",LEN(RSA!C57)=0),"",INT(J289/2))</f>
        <v/>
      </c>
      <c r="K290" s="1" t="str">
        <f>IF(OR(RSA!$C$12&lt;&gt;"Ready",LEN(RSA!C57)=0),"",MOD(K289*K289,RSA!$C$16))</f>
        <v/>
      </c>
      <c r="L290" s="1" t="str">
        <f>IF(OR(RSA!$C$12&lt;&gt;"Ready",LEN(RSA!C57)=0),"",MOD(J290,2))</f>
        <v/>
      </c>
      <c r="M290" s="1" t="str">
        <f>IF(OR(RSA!$C$12&lt;&gt;"Ready",LEN(RSA!C57)=0),"",O289)</f>
        <v/>
      </c>
      <c r="N290" s="1" t="str">
        <f>IF(OR(RSA!$C$12&lt;&gt;"Ready",LEN(RSA!C57)=0),"",IF(L290=1,K290,1))</f>
        <v/>
      </c>
      <c r="O290" s="1" t="str">
        <f>IF(OR(RSA!$C$12&lt;&gt;"Ready",LEN(RSA!C57)=0),"",MOD(M290*N290,RSA!$C$16))</f>
        <v/>
      </c>
    </row>
    <row r="291" spans="1:15" ht="21.95" customHeight="1">
      <c r="A291" s="1">
        <v>12</v>
      </c>
      <c r="B291" s="1" t="str">
        <f>IF(OR(RSA!$C$12&lt;&gt;"Ready",LEN(RSA!C57)=0),"",INT(B290/2))</f>
        <v/>
      </c>
      <c r="C291" s="1" t="str">
        <f>IF(OR(RSA!$C$12&lt;&gt;"Ready",LEN(RSA!C57)=0),"",MOD(C290*C290,RSA!$C$16))</f>
        <v/>
      </c>
      <c r="D291" s="1" t="str">
        <f>IF(OR(RSA!$C$12&lt;&gt;"Ready",LEN(RSA!C57)=0),"",MOD(B291,2))</f>
        <v/>
      </c>
      <c r="E291" s="1" t="str">
        <f>IF(OR(RSA!$C$12&lt;&gt;"Ready",LEN(RSA!C57)=0),"",G290)</f>
        <v/>
      </c>
      <c r="F291" s="1" t="str">
        <f>IF(OR(RSA!$C$12&lt;&gt;"Ready",LEN(RSA!C57)=0),"",IF(D291=1,C291,1))</f>
        <v/>
      </c>
      <c r="G291" s="1" t="str">
        <f>IF(OR(RSA!$C$12&lt;&gt;"Ready",LEN(RSA!C57)=0),"",MOD(E291*F291,RSA!$C$16))</f>
        <v/>
      </c>
      <c r="H291" s="1"/>
      <c r="I291" s="1">
        <v>12</v>
      </c>
      <c r="J291" s="1" t="str">
        <f>IF(OR(RSA!$C$12&lt;&gt;"Ready",LEN(RSA!C57)=0),"",INT(J290/2))</f>
        <v/>
      </c>
      <c r="K291" s="1" t="str">
        <f>IF(OR(RSA!$C$12&lt;&gt;"Ready",LEN(RSA!C57)=0),"",MOD(K290*K290,RSA!$C$16))</f>
        <v/>
      </c>
      <c r="L291" s="1" t="str">
        <f>IF(OR(RSA!$C$12&lt;&gt;"Ready",LEN(RSA!C57)=0),"",MOD(J291,2))</f>
        <v/>
      </c>
      <c r="M291" s="1" t="str">
        <f>IF(OR(RSA!$C$12&lt;&gt;"Ready",LEN(RSA!C57)=0),"",O290)</f>
        <v/>
      </c>
      <c r="N291" s="1" t="str">
        <f>IF(OR(RSA!$C$12&lt;&gt;"Ready",LEN(RSA!C57)=0),"",IF(L291=1,K291,1))</f>
        <v/>
      </c>
      <c r="O291" s="1" t="str">
        <f>IF(OR(RSA!$C$12&lt;&gt;"Ready",LEN(RSA!C57)=0),"",MOD(M291*N291,RSA!$C$16))</f>
        <v/>
      </c>
    </row>
    <row r="292" spans="1:15" ht="21.95" customHeight="1">
      <c r="A292" s="1">
        <v>13</v>
      </c>
      <c r="B292" s="1" t="str">
        <f>IF(OR(RSA!$C$12&lt;&gt;"Ready",LEN(RSA!C57)=0),"",INT(B291/2))</f>
        <v/>
      </c>
      <c r="C292" s="1" t="str">
        <f>IF(OR(RSA!$C$12&lt;&gt;"Ready",LEN(RSA!C57)=0),"",MOD(C291*C291,RSA!$C$16))</f>
        <v/>
      </c>
      <c r="D292" s="1" t="str">
        <f>IF(OR(RSA!$C$12&lt;&gt;"Ready",LEN(RSA!C57)=0),"",MOD(B292,2))</f>
        <v/>
      </c>
      <c r="E292" s="1" t="str">
        <f>IF(OR(RSA!$C$12&lt;&gt;"Ready",LEN(RSA!C57)=0),"",G291)</f>
        <v/>
      </c>
      <c r="F292" s="1" t="str">
        <f>IF(OR(RSA!$C$12&lt;&gt;"Ready",LEN(RSA!C57)=0),"",IF(D292=1,C292,1))</f>
        <v/>
      </c>
      <c r="G292" s="1" t="str">
        <f>IF(OR(RSA!$C$12&lt;&gt;"Ready",LEN(RSA!C57)=0),"",MOD(E292*F292,RSA!$C$16))</f>
        <v/>
      </c>
      <c r="H292" s="1"/>
      <c r="I292" s="1">
        <v>13</v>
      </c>
      <c r="J292" s="1" t="str">
        <f>IF(OR(RSA!$C$12&lt;&gt;"Ready",LEN(RSA!C57)=0),"",INT(J291/2))</f>
        <v/>
      </c>
      <c r="K292" s="1" t="str">
        <f>IF(OR(RSA!$C$12&lt;&gt;"Ready",LEN(RSA!C57)=0),"",MOD(K291*K291,RSA!$C$16))</f>
        <v/>
      </c>
      <c r="L292" s="1" t="str">
        <f>IF(OR(RSA!$C$12&lt;&gt;"Ready",LEN(RSA!C57)=0),"",MOD(J292,2))</f>
        <v/>
      </c>
      <c r="M292" s="1" t="str">
        <f>IF(OR(RSA!$C$12&lt;&gt;"Ready",LEN(RSA!C57)=0),"",O291)</f>
        <v/>
      </c>
      <c r="N292" s="1" t="str">
        <f>IF(OR(RSA!$C$12&lt;&gt;"Ready",LEN(RSA!C57)=0),"",IF(L292=1,K292,1))</f>
        <v/>
      </c>
      <c r="O292" s="1" t="str">
        <f>IF(OR(RSA!$C$12&lt;&gt;"Ready",LEN(RSA!C57)=0),"",MOD(M292*N292,RSA!$C$16))</f>
        <v/>
      </c>
    </row>
    <row r="293" spans="1:15" ht="21.95" customHeight="1">
      <c r="A293" s="1">
        <v>14</v>
      </c>
      <c r="B293" s="1" t="str">
        <f>IF(OR(RSA!$C$12&lt;&gt;"Ready",LEN(RSA!C57)=0),"",INT(B292/2))</f>
        <v/>
      </c>
      <c r="C293" s="1" t="str">
        <f>IF(OR(RSA!$C$12&lt;&gt;"Ready",LEN(RSA!C57)=0),"",MOD(C292*C292,RSA!$C$16))</f>
        <v/>
      </c>
      <c r="D293" s="1" t="str">
        <f>IF(OR(RSA!$C$12&lt;&gt;"Ready",LEN(RSA!C57)=0),"",MOD(B293,2))</f>
        <v/>
      </c>
      <c r="E293" s="1" t="str">
        <f>IF(OR(RSA!$C$12&lt;&gt;"Ready",LEN(RSA!C57)=0),"",G292)</f>
        <v/>
      </c>
      <c r="F293" s="1" t="str">
        <f>IF(OR(RSA!$C$12&lt;&gt;"Ready",LEN(RSA!C57)=0),"",IF(D293=1,C293,1))</f>
        <v/>
      </c>
      <c r="G293" s="12" t="str">
        <f>IF(OR(RSA!$C$12&lt;&gt;"Ready",LEN(RSA!C57)=0),"",MOD(E293*F293,RSA!$C$16))</f>
        <v/>
      </c>
      <c r="H293" s="1"/>
      <c r="I293" s="1">
        <v>14</v>
      </c>
      <c r="J293" s="1" t="str">
        <f>IF(OR(RSA!$C$12&lt;&gt;"Ready",LEN(RSA!C57)=0),"",INT(J292/2))</f>
        <v/>
      </c>
      <c r="K293" s="1" t="str">
        <f>IF(OR(RSA!$C$12&lt;&gt;"Ready",LEN(RSA!C57)=0),"",MOD(K292*K292,RSA!$C$16))</f>
        <v/>
      </c>
      <c r="L293" s="1" t="str">
        <f>IF(OR(RSA!$C$12&lt;&gt;"Ready",LEN(RSA!C57)=0),"",MOD(J293,2))</f>
        <v/>
      </c>
      <c r="M293" s="1" t="str">
        <f>IF(OR(RSA!$C$12&lt;&gt;"Ready",LEN(RSA!C57)=0),"",O292)</f>
        <v/>
      </c>
      <c r="N293" s="1" t="str">
        <f>IF(OR(RSA!$C$12&lt;&gt;"Ready",LEN(RSA!C57)=0),"",IF(L293=1,K293,1))</f>
        <v/>
      </c>
      <c r="O293" s="12" t="str">
        <f>IF(OR(RSA!$C$12&lt;&gt;"Ready",LEN(RSA!C57)=0),"",MOD(M293*N293,RSA!$C$16))</f>
        <v/>
      </c>
    </row>
    <row r="294" spans="1:15" ht="21.9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21.9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9ADD-5672-4DCF-89D6-6F7C08D25719}">
  <dimension ref="A1"/>
  <sheetViews>
    <sheetView workbookViewId="0">
      <selection activeCell="K92" sqref="K92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RSA</vt:lpstr>
      <vt:lpstr>Key steps</vt:lpstr>
      <vt:lpstr>Power steps</vt:lpstr>
      <vt:lpstr>Power Steps 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and Ann Stow</cp:lastModifiedBy>
  <dcterms:modified xsi:type="dcterms:W3CDTF">2026-09-25T10:19:03Z</dcterms:modified>
</cp:coreProperties>
</file>